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4.xml" ContentType="application/vnd.openxmlformats-officedocument.drawing+xml"/>
  <Override PartName="/xl/ctrlProps/ctrlProp5.xml" ContentType="application/vnd.ms-excel.controlproperties+xml"/>
  <Override PartName="/xl/ctrlProps/ctrlProp6.xml" ContentType="application/vnd.ms-excel.controlproperties+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Users/valentinschulte/Dropbox/Akademie NEU 2017/001 Einzelunterricht-VORBLÄTTER/"/>
    </mc:Choice>
  </mc:AlternateContent>
  <xr:revisionPtr revIDLastSave="9" documentId="13_ncr:1_{BDA8F997-B051-BC47-9C86-E3CB96C1517A}" xr6:coauthVersionLast="47" xr6:coauthVersionMax="47" xr10:uidLastSave="{E51DFA53-595C-430F-8B16-B958EBE62FA9}"/>
  <bookViews>
    <workbookView xWindow="0" yWindow="660" windowWidth="23260" windowHeight="12460" firstSheet="2" activeTab="3" xr2:uid="{D37D029E-6654-4919-BA5F-01C29447E873}"/>
  </bookViews>
  <sheets>
    <sheet name="Kontaktdaten + Vertragsggst." sheetId="1" r:id="rId1"/>
    <sheet name="Zivilrecht" sheetId="4" r:id="rId2"/>
    <sheet name="ÖR" sheetId="6" r:id="rId3"/>
    <sheet name="Strafrecht" sheetId="7" r:id="rId4"/>
    <sheet name=" Bemerkungen zum Vertrag"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7" l="1"/>
  <c r="D7" i="7" s="1"/>
  <c r="D8" i="7" s="1"/>
  <c r="D9" i="7" s="1"/>
  <c r="D10" i="7" s="1"/>
  <c r="D11" i="7" s="1"/>
  <c r="D12" i="7" s="1"/>
  <c r="D13" i="7" s="1"/>
  <c r="D14" i="7" s="1"/>
  <c r="D15" i="7" s="1"/>
  <c r="D16" i="7" s="1"/>
  <c r="D17" i="7" s="1"/>
  <c r="D18" i="7" s="1"/>
  <c r="D27" i="7" s="1"/>
  <c r="D28" i="7" s="1"/>
  <c r="D29" i="7" s="1"/>
  <c r="D30" i="7" s="1"/>
  <c r="D31" i="7" s="1"/>
  <c r="D32" i="7" s="1"/>
  <c r="D33" i="7" s="1"/>
  <c r="D34" i="7" s="1"/>
  <c r="D35" i="7" s="1"/>
  <c r="D36" i="7" s="1"/>
  <c r="D37" i="7" s="1"/>
  <c r="D38" i="7" s="1"/>
  <c r="D39" i="7" s="1"/>
  <c r="D40" i="7" s="1"/>
  <c r="D41" i="7" s="1"/>
  <c r="D42" i="7" s="1"/>
  <c r="D43" i="7" s="1"/>
  <c r="D44" i="7" s="1"/>
  <c r="D45" i="7" s="1"/>
  <c r="D54" i="7" s="1"/>
  <c r="D55" i="7" s="1"/>
  <c r="D56" i="7" s="1"/>
  <c r="D57" i="7" s="1"/>
  <c r="D58" i="7" s="1"/>
  <c r="D59" i="7" s="1"/>
  <c r="D60" i="7" s="1"/>
  <c r="D61" i="7" s="1"/>
  <c r="D62" i="7" s="1"/>
  <c r="D63" i="7" s="1"/>
  <c r="D64" i="7" s="1"/>
  <c r="D65" i="7" s="1"/>
  <c r="D66" i="7" s="1"/>
  <c r="D67" i="7" s="1"/>
  <c r="D68" i="7" s="1"/>
  <c r="D69" i="7" s="1"/>
  <c r="D70" i="7" s="1"/>
  <c r="D71" i="7" s="1"/>
  <c r="D72" i="7" s="1"/>
  <c r="D73" i="7" s="1"/>
  <c r="D74" i="7" s="1"/>
  <c r="D75" i="7" s="1"/>
  <c r="D6" i="6"/>
  <c r="D7" i="6" s="1"/>
  <c r="D8" i="6" s="1"/>
  <c r="D9" i="6" s="1"/>
  <c r="D10" i="6" s="1"/>
  <c r="D11" i="6" s="1"/>
  <c r="D12" i="6" s="1"/>
  <c r="D13" i="6" s="1"/>
  <c r="D14" i="6" s="1"/>
  <c r="D15" i="6" s="1"/>
  <c r="D16" i="6" s="1"/>
  <c r="D17" i="6" s="1"/>
  <c r="D18" i="6" s="1"/>
  <c r="D19" i="6" s="1"/>
  <c r="D6" i="4"/>
  <c r="D7" i="4" s="1"/>
  <c r="D8" i="4" s="1"/>
  <c r="D9" i="4" s="1"/>
  <c r="D10" i="4" s="1"/>
  <c r="D11" i="4" s="1"/>
  <c r="D12" i="4" s="1"/>
  <c r="D13" i="4" s="1"/>
  <c r="D14" i="4" s="1"/>
  <c r="D15" i="4" s="1"/>
  <c r="D16" i="4" s="1"/>
  <c r="D17" i="4" s="1"/>
  <c r="D18" i="4" s="1"/>
  <c r="D19" i="4" s="1"/>
  <c r="D20" i="6" l="1"/>
  <c r="D21" i="6" s="1"/>
  <c r="D30" i="6" s="1"/>
  <c r="D31" i="6" s="1"/>
  <c r="D32" i="6" s="1"/>
  <c r="D33" i="6" s="1"/>
  <c r="D34" i="6" s="1"/>
  <c r="D35" i="6" s="1"/>
  <c r="D36" i="6" s="1"/>
  <c r="D37" i="6" s="1"/>
  <c r="D38" i="6" s="1"/>
  <c r="D39" i="6" s="1"/>
  <c r="D40" i="6" s="1"/>
  <c r="D41" i="6" s="1"/>
  <c r="D42" i="6" s="1"/>
  <c r="D43" i="6" s="1"/>
  <c r="D44" i="6" s="1"/>
  <c r="D45" i="6" s="1"/>
  <c r="D46" i="6" s="1"/>
  <c r="D55" i="6" s="1"/>
  <c r="D56" i="6" s="1"/>
  <c r="D57" i="6" s="1"/>
  <c r="D58" i="6" s="1"/>
  <c r="D59" i="6" s="1"/>
  <c r="D60" i="6" s="1"/>
  <c r="D61" i="6" s="1"/>
  <c r="D62" i="6" s="1"/>
  <c r="D63" i="6" s="1"/>
  <c r="D64" i="6" s="1"/>
  <c r="D65" i="6" s="1"/>
  <c r="D67" i="6" s="1"/>
  <c r="D68" i="6" s="1"/>
  <c r="D69" i="6" s="1"/>
  <c r="D70" i="6" s="1"/>
  <c r="D71" i="6" s="1"/>
  <c r="D72" i="6" s="1"/>
  <c r="D73" i="6" s="1"/>
  <c r="D74" i="6" s="1"/>
  <c r="D75" i="6" s="1"/>
  <c r="D76" i="6" s="1"/>
  <c r="D77" i="6" s="1"/>
  <c r="D78" i="6" s="1"/>
  <c r="D79" i="6" s="1"/>
  <c r="D80" i="6" s="1"/>
  <c r="D81" i="6" s="1"/>
  <c r="D20" i="4"/>
  <c r="D21" i="4" s="1"/>
  <c r="D30" i="4" s="1"/>
  <c r="D31" i="4" s="1"/>
  <c r="D32" i="4" s="1"/>
  <c r="D33" i="4" s="1"/>
  <c r="D34" i="4" s="1"/>
  <c r="D35" i="4" s="1"/>
  <c r="D36" i="4" s="1"/>
  <c r="D37" i="4" s="1"/>
  <c r="D38" i="4" s="1"/>
  <c r="D39" i="4" s="1"/>
  <c r="D40" i="4" s="1"/>
  <c r="D41" i="4" s="1"/>
  <c r="D42" i="4" s="1"/>
  <c r="D43" i="4" s="1"/>
  <c r="D44" i="4" s="1"/>
  <c r="D45" i="4" s="1"/>
  <c r="D46" i="4" s="1"/>
  <c r="D47" i="4" s="1"/>
  <c r="D48" i="4" s="1"/>
  <c r="D49" i="4" s="1"/>
  <c r="D50" i="4" s="1"/>
  <c r="D59" i="4" s="1"/>
  <c r="D60" i="4" s="1"/>
  <c r="D61" i="4" s="1"/>
  <c r="D62" i="4" s="1"/>
  <c r="D63" i="4" s="1"/>
  <c r="D64" i="4" s="1"/>
  <c r="D65" i="4" s="1"/>
  <c r="D66" i="4" s="1"/>
  <c r="D67" i="4" s="1"/>
  <c r="D68" i="4" s="1"/>
  <c r="D69" i="4" s="1"/>
</calcChain>
</file>

<file path=xl/sharedStrings.xml><?xml version="1.0" encoding="utf-8"?>
<sst xmlns="http://schemas.openxmlformats.org/spreadsheetml/2006/main" count="167" uniqueCount="108">
  <si>
    <t>Einzelunterrichtsvorblatt</t>
  </si>
  <si>
    <t xml:space="preserve"> </t>
  </si>
  <si>
    <t>Gesamtstundenzahl:</t>
  </si>
  <si>
    <t>TN:</t>
  </si>
  <si>
    <t>NAME :</t>
  </si>
  <si>
    <t>Laurenz Anton Kohler</t>
  </si>
  <si>
    <t>Schulungsort:</t>
  </si>
  <si>
    <t>Regensburg</t>
  </si>
  <si>
    <t>Unterrichtsart:</t>
  </si>
  <si>
    <t>VT</t>
  </si>
  <si>
    <t>Telefon-Nr.:</t>
  </si>
  <si>
    <t>0176 9781 8726</t>
  </si>
  <si>
    <t>Kenntnisstand:</t>
  </si>
  <si>
    <t>siehe unten - Aussage</t>
  </si>
  <si>
    <t>Prüfungstermin des TN (wenn bekannt)</t>
  </si>
  <si>
    <t>E-Mail-Adresse:</t>
  </si>
  <si>
    <t>laurenz.kohler@t-online.de</t>
  </si>
  <si>
    <t>LandesR</t>
  </si>
  <si>
    <t>Bayern</t>
  </si>
  <si>
    <t>Vertragsgegenstand:</t>
  </si>
  <si>
    <t xml:space="preserve">
</t>
  </si>
  <si>
    <t>Dozenten</t>
  </si>
  <si>
    <t>Valentin Schulte</t>
  </si>
  <si>
    <t>Zivilrecht</t>
  </si>
  <si>
    <t>Kevin Pauls</t>
  </si>
  <si>
    <t>Öffentliches Recht</t>
  </si>
  <si>
    <t>Till Mengler</t>
  </si>
  <si>
    <t>Strafrecht</t>
  </si>
  <si>
    <t xml:space="preserve">
</t>
  </si>
  <si>
    <t xml:space="preserve"> Vertragslaufzeit bis 31.08.26</t>
  </si>
  <si>
    <t>Anzahl Gesamtstunden:</t>
  </si>
  <si>
    <t>Bitte mind.  5,5 Std Unterricht pro Monat vereinbaren</t>
  </si>
  <si>
    <t>Datum der Einheit</t>
  </si>
  <si>
    <t>Thema/Klausur</t>
  </si>
  <si>
    <t>Anzahl Stunden à 60 min</t>
  </si>
  <si>
    <t>RESTstunden</t>
  </si>
  <si>
    <t xml:space="preserve">Lernplan bereits erstellt: </t>
  </si>
  <si>
    <t>ZR1 + Korrektur</t>
  </si>
  <si>
    <t>ZR2 + Korrektur</t>
  </si>
  <si>
    <t>ZR3 + Korrektur</t>
  </si>
  <si>
    <t>ZR4 + Korrektur</t>
  </si>
  <si>
    <t>ZR5 + Korrektur</t>
  </si>
  <si>
    <t>ZR6</t>
  </si>
  <si>
    <t>ZR7 + Korrektur 4 Pkt.</t>
  </si>
  <si>
    <t>ZR8 + Korrektur 7 Pkt</t>
  </si>
  <si>
    <t>Zr9 + Korrektur 5 Pkt</t>
  </si>
  <si>
    <t>ZR10 + Korrektur 3 Pkt</t>
  </si>
  <si>
    <t>ZR11 + Korrektur 3 Pkt</t>
  </si>
  <si>
    <t>ZR12</t>
  </si>
  <si>
    <t>nachgetragen laut RE</t>
  </si>
  <si>
    <t>ZR13 + Korrektur 6 Pkt</t>
  </si>
  <si>
    <t>ZR14 + Korrektur 5 Pkt</t>
  </si>
  <si>
    <t>ZR15 + Korrektur 7 Pk.t</t>
  </si>
  <si>
    <t>vom Dozenten im ZR auszufüllen:</t>
  </si>
  <si>
    <r>
      <t xml:space="preserve">Bitte hier unbedingt 
von 1-10 bewerten! 
</t>
    </r>
    <r>
      <rPr>
        <sz val="8"/>
        <rFont val="Arial"/>
        <family val="2"/>
      </rPr>
      <t>(1 -sehr schlecht, 10 - sehr gut)</t>
    </r>
  </si>
  <si>
    <t>1. Feedbackbogen des TN im ZR :</t>
  </si>
  <si>
    <t>Empfehlung für den TN:</t>
  </si>
  <si>
    <t>Unterrichtsvorbereitung</t>
  </si>
  <si>
    <t>Unterrichtsnachbereitung</t>
  </si>
  <si>
    <t>Mitarbeit im Unterricht</t>
  </si>
  <si>
    <t>Fortschritt beim Klausurenschreiben</t>
  </si>
  <si>
    <t>Fortschritt im Theoriewissen</t>
  </si>
  <si>
    <t>2. Feedbackbogen des TN im ZR :</t>
  </si>
  <si>
    <t>ÖR</t>
  </si>
  <si>
    <t>Bitte mind. 5 Std Unterricht pro Monat vereinbaren</t>
  </si>
  <si>
    <t>Einleitung</t>
  </si>
  <si>
    <t>Fall 1</t>
  </si>
  <si>
    <t>Fall 2</t>
  </si>
  <si>
    <t>Fall 9</t>
  </si>
  <si>
    <t>Wurde ein Lernplan erstellt? Ja</t>
  </si>
  <si>
    <t>Fall 10</t>
  </si>
  <si>
    <t>Fall 11</t>
  </si>
  <si>
    <t>Fall 12</t>
  </si>
  <si>
    <t>Fall 32</t>
  </si>
  <si>
    <t>Fall 5</t>
  </si>
  <si>
    <t>Fall 6</t>
  </si>
  <si>
    <t>Fall 15</t>
  </si>
  <si>
    <t>Fall 16</t>
  </si>
  <si>
    <t>Fall 17</t>
  </si>
  <si>
    <t>Fall 20</t>
  </si>
  <si>
    <t>Fall 21</t>
  </si>
  <si>
    <t>Fall 22</t>
  </si>
  <si>
    <t>vom Dozenten im ÖR auszufüllen:</t>
  </si>
  <si>
    <t>1. Feedbackbogen des TN im ÖR :</t>
  </si>
  <si>
    <t>Fall 23</t>
  </si>
  <si>
    <t>Fall 24</t>
  </si>
  <si>
    <t>Fall 26</t>
  </si>
  <si>
    <t>2. Feedbackbogen des TN im ÖR :</t>
  </si>
  <si>
    <t>Bitte mind. 3,5  Std Unterricht pro Monat vereinbaren</t>
  </si>
  <si>
    <t>ST 4 (Probestunde, 1,5 h)</t>
  </si>
  <si>
    <t>SR 2 inkl. Korrektur</t>
  </si>
  <si>
    <t>Lernplan erstellt</t>
  </si>
  <si>
    <t>SR 3 inkl. Korrektur</t>
  </si>
  <si>
    <t>SR 5 inkl. Korrektur</t>
  </si>
  <si>
    <t>SR 6 inkl. Korrektur</t>
  </si>
  <si>
    <t>SR 8 inkl. Korrektur</t>
  </si>
  <si>
    <t>SR 9</t>
  </si>
  <si>
    <t>SR 11</t>
  </si>
  <si>
    <t>SR 12 inkl. Korrektur</t>
  </si>
  <si>
    <t>SR 13</t>
  </si>
  <si>
    <t>SR 14</t>
  </si>
  <si>
    <t>danach höhere Taktung</t>
  </si>
  <si>
    <t>vom Dozenten im StR auszufüllen:</t>
  </si>
  <si>
    <t>1. Feedbackbogen des TN im StR :</t>
  </si>
  <si>
    <t>2. Feedbackbogen des TN im StR :</t>
  </si>
  <si>
    <t>Datum</t>
  </si>
  <si>
    <t xml:space="preserve">E-Mail von /Telefonat mit </t>
  </si>
  <si>
    <t>Bemerkung zum Vertrag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</si>
</sst>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name val="Arial"/>
      <family val="2"/>
    </font>
    <font>
      <sz val="11"/>
      <color indexed="8"/>
      <name val="Calibri"/>
      <family val="2"/>
      <charset val="1"/>
    </font>
    <font>
      <sz val="16"/>
      <color indexed="8"/>
      <name val="Arial Black"/>
      <family val="2"/>
      <charset val="1"/>
    </font>
    <font>
      <sz val="16"/>
      <color indexed="8"/>
      <name val="Calibri"/>
      <family val="2"/>
      <charset val="1"/>
    </font>
    <font>
      <sz val="14"/>
      <name val="Arial Black"/>
      <family val="2"/>
      <charset val="1"/>
    </font>
    <font>
      <sz val="14"/>
      <color indexed="8"/>
      <name val="Calibri"/>
      <family val="2"/>
      <charset val="1"/>
    </font>
    <font>
      <sz val="14"/>
      <color indexed="8"/>
      <name val="Arial Black"/>
      <family val="2"/>
      <charset val="1"/>
    </font>
    <font>
      <u/>
      <sz val="11"/>
      <color indexed="12"/>
      <name val="Calibri"/>
      <family val="2"/>
      <charset val="1"/>
    </font>
    <font>
      <sz val="12"/>
      <name val="Arial Black"/>
      <family val="2"/>
      <charset val="1"/>
    </font>
    <font>
      <sz val="12"/>
      <color indexed="8"/>
      <name val="Arial Black"/>
      <family val="2"/>
      <charset val="1"/>
    </font>
    <font>
      <sz val="12"/>
      <color indexed="8"/>
      <name val="Arial"/>
      <family val="2"/>
      <charset val="1"/>
    </font>
    <font>
      <sz val="12"/>
      <color indexed="23"/>
      <name val="Arial Unicode MS"/>
      <family val="2"/>
      <charset val="1"/>
    </font>
    <font>
      <b/>
      <sz val="12"/>
      <color indexed="8"/>
      <name val="Arial"/>
      <family val="2"/>
      <charset val="1"/>
    </font>
    <font>
      <sz val="10"/>
      <color indexed="8"/>
      <name val="Arial Black"/>
      <family val="2"/>
      <charset val="1"/>
    </font>
    <font>
      <sz val="10"/>
      <color indexed="8"/>
      <name val="Arial"/>
      <family val="2"/>
      <charset val="1"/>
    </font>
    <font>
      <sz val="11"/>
      <color indexed="8"/>
      <name val="Arial"/>
      <family val="2"/>
      <charset val="1"/>
    </font>
    <font>
      <b/>
      <sz val="16"/>
      <color indexed="8"/>
      <name val="Arial"/>
      <family val="2"/>
      <charset val="1"/>
    </font>
    <font>
      <b/>
      <sz val="12"/>
      <name val="Arial"/>
      <family val="2"/>
      <charset val="1"/>
    </font>
    <font>
      <sz val="12"/>
      <color indexed="10"/>
      <name val="Arial Black"/>
      <family val="2"/>
      <charset val="1"/>
    </font>
    <font>
      <sz val="12"/>
      <name val="Arial"/>
      <family val="2"/>
      <charset val="1"/>
    </font>
    <font>
      <sz val="12"/>
      <color indexed="10"/>
      <name val="Arial"/>
      <family val="2"/>
      <charset val="1"/>
    </font>
    <font>
      <sz val="12"/>
      <name val="Arial"/>
      <family val="2"/>
    </font>
    <font>
      <b/>
      <u/>
      <sz val="12"/>
      <color indexed="8"/>
      <name val="Calibri"/>
      <family val="2"/>
    </font>
    <font>
      <b/>
      <sz val="12"/>
      <color indexed="8"/>
      <name val="Calibri"/>
      <family val="2"/>
      <charset val="1"/>
    </font>
    <font>
      <b/>
      <sz val="12"/>
      <name val="Arial"/>
      <family val="2"/>
    </font>
    <font>
      <b/>
      <sz val="14"/>
      <color indexed="8"/>
      <name val="Arial"/>
      <family val="2"/>
      <charset val="1"/>
    </font>
    <font>
      <b/>
      <sz val="11"/>
      <color indexed="8"/>
      <name val="Arial"/>
      <family val="2"/>
      <charset val="1"/>
    </font>
    <font>
      <b/>
      <sz val="10"/>
      <color indexed="8"/>
      <name val="Calibri"/>
      <family val="2"/>
    </font>
    <font>
      <b/>
      <i/>
      <sz val="10"/>
      <color indexed="8"/>
      <name val="Calibri"/>
      <family val="2"/>
    </font>
    <font>
      <sz val="11"/>
      <name val="Calibri"/>
      <family val="2"/>
    </font>
    <font>
      <sz val="12"/>
      <color indexed="8"/>
      <name val="Arial"/>
      <family val="2"/>
    </font>
    <font>
      <b/>
      <sz val="12"/>
      <color indexed="8"/>
      <name val="Arial"/>
      <family val="2"/>
    </font>
    <font>
      <sz val="14"/>
      <color indexed="8"/>
      <name val="Arial"/>
      <family val="2"/>
    </font>
    <font>
      <sz val="16"/>
      <color indexed="8"/>
      <name val="Arial Black"/>
      <family val="2"/>
    </font>
    <font>
      <sz val="11"/>
      <color indexed="8"/>
      <name val="Arial Black"/>
      <family val="2"/>
    </font>
    <font>
      <sz val="14"/>
      <color indexed="8"/>
      <name val="Arial Black"/>
      <family val="2"/>
    </font>
    <font>
      <b/>
      <sz val="16"/>
      <color indexed="10"/>
      <name val="Arial Black"/>
      <family val="2"/>
    </font>
    <font>
      <b/>
      <sz val="14"/>
      <color indexed="8"/>
      <name val="Arial Black"/>
      <family val="2"/>
    </font>
    <font>
      <sz val="10"/>
      <color indexed="8"/>
      <name val="Arial Black"/>
      <family val="2"/>
    </font>
    <font>
      <sz val="10"/>
      <name val="Arial"/>
      <family val="2"/>
      <charset val="1"/>
    </font>
    <font>
      <sz val="8"/>
      <name val="Arial"/>
      <family val="2"/>
    </font>
    <font>
      <b/>
      <sz val="14"/>
      <color indexed="8"/>
      <name val="Calibri"/>
      <family val="2"/>
    </font>
    <font>
      <b/>
      <sz val="14"/>
      <name val="Arial"/>
      <family val="2"/>
    </font>
    <font>
      <b/>
      <sz val="11"/>
      <color rgb="FFFF0000"/>
      <name val="Calibri"/>
      <family val="2"/>
      <scheme val="minor"/>
    </font>
    <font>
      <sz val="10"/>
      <color theme="1"/>
      <name val="Calibri"/>
      <family val="2"/>
      <scheme val="minor"/>
    </font>
    <font>
      <b/>
      <sz val="14"/>
      <color rgb="FFFF0000"/>
      <name val="Calibri"/>
      <family val="2"/>
    </font>
    <font>
      <sz val="11"/>
      <color rgb="FFFF0000"/>
      <name val="Arial Black"/>
      <family val="2"/>
    </font>
    <font>
      <sz val="11"/>
      <color rgb="FF000000"/>
      <name val="Calibri"/>
      <family val="2"/>
    </font>
    <font>
      <sz val="12"/>
      <color indexed="8"/>
      <name val="Calibri"/>
      <family val="2"/>
      <scheme val="minor"/>
    </font>
    <font>
      <sz val="12"/>
      <name val="Calibri"/>
      <family val="2"/>
      <scheme val="minor"/>
    </font>
    <font>
      <sz val="14"/>
      <color rgb="FFFF0000"/>
      <name val="Arial"/>
      <family val="2"/>
    </font>
    <font>
      <u/>
      <sz val="10"/>
      <color theme="10"/>
      <name val="Arial"/>
      <family val="2"/>
    </font>
  </fonts>
  <fills count="14">
    <fill>
      <patternFill patternType="none"/>
    </fill>
    <fill>
      <patternFill patternType="gray125"/>
    </fill>
    <fill>
      <patternFill patternType="solid">
        <fgColor indexed="10"/>
        <bgColor indexed="60"/>
      </patternFill>
    </fill>
    <fill>
      <patternFill patternType="solid">
        <fgColor theme="9" tint="0.59999389629810485"/>
        <bgColor indexed="34"/>
      </patternFill>
    </fill>
    <fill>
      <patternFill patternType="solid">
        <fgColor theme="7" tint="0.59999389629810485"/>
        <bgColor indexed="64"/>
      </patternFill>
    </fill>
    <fill>
      <patternFill patternType="solid">
        <fgColor theme="7" tint="0.59999389629810485"/>
        <bgColor indexed="34"/>
      </patternFill>
    </fill>
    <fill>
      <patternFill patternType="solid">
        <fgColor theme="9" tint="0.59999389629810485"/>
        <bgColor indexed="64"/>
      </patternFill>
    </fill>
    <fill>
      <patternFill patternType="solid">
        <fgColor theme="6" tint="0.39997558519241921"/>
        <bgColor indexed="34"/>
      </patternFill>
    </fill>
    <fill>
      <patternFill patternType="solid">
        <fgColor theme="6" tint="0.39997558519241921"/>
        <bgColor indexed="64"/>
      </patternFill>
    </fill>
    <fill>
      <patternFill patternType="solid">
        <fgColor rgb="FFFFFF00"/>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rgb="FFFF0000"/>
        <bgColor indexed="64"/>
      </patternFill>
    </fill>
  </fills>
  <borders count="50">
    <border>
      <left/>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medium">
        <color indexed="64"/>
      </right>
      <top style="medium">
        <color indexed="64"/>
      </top>
      <bottom style="thin">
        <color indexed="8"/>
      </bottom>
      <diagonal/>
    </border>
    <border>
      <left style="thin">
        <color indexed="8"/>
      </left>
      <right style="medium">
        <color indexed="8"/>
      </right>
      <top style="thin">
        <color indexed="8"/>
      </top>
      <bottom/>
      <diagonal/>
    </border>
    <border>
      <left style="medium">
        <color indexed="8"/>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medium">
        <color indexed="8"/>
      </right>
      <top style="thin">
        <color indexed="64"/>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right style="thin">
        <color indexed="8"/>
      </right>
      <top style="thin">
        <color indexed="8"/>
      </top>
      <bottom/>
      <diagonal/>
    </border>
    <border>
      <left style="thin">
        <color indexed="8"/>
      </left>
      <right/>
      <top style="thin">
        <color indexed="8"/>
      </top>
      <bottom/>
      <diagonal/>
    </border>
    <border>
      <left/>
      <right style="thin">
        <color indexed="8"/>
      </right>
      <top/>
      <bottom style="thin">
        <color indexed="8"/>
      </bottom>
      <diagonal/>
    </border>
    <border>
      <left style="thin">
        <color indexed="8"/>
      </left>
      <right/>
      <top style="thin">
        <color indexed="8"/>
      </top>
      <bottom style="medium">
        <color indexed="64"/>
      </bottom>
      <diagonal/>
    </border>
    <border>
      <left style="thin">
        <color indexed="8"/>
      </left>
      <right style="medium">
        <color indexed="8"/>
      </right>
      <top/>
      <bottom style="thin">
        <color indexed="8"/>
      </bottom>
      <diagonal/>
    </border>
    <border>
      <left style="thin">
        <color indexed="8"/>
      </left>
      <right style="thin">
        <color indexed="8"/>
      </right>
      <top style="thin">
        <color indexed="8"/>
      </top>
      <bottom/>
      <diagonal/>
    </border>
    <border>
      <left style="medium">
        <color indexed="64"/>
      </left>
      <right style="thin">
        <color indexed="8"/>
      </right>
      <top style="medium">
        <color indexed="64"/>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64"/>
      </bottom>
      <diagonal/>
    </border>
    <border>
      <left style="thin">
        <color indexed="8"/>
      </left>
      <right style="thin">
        <color indexed="8"/>
      </right>
      <top/>
      <bottom style="thin">
        <color indexed="64"/>
      </bottom>
      <diagonal/>
    </border>
    <border>
      <left style="thin">
        <color indexed="8"/>
      </left>
      <right style="medium">
        <color indexed="8"/>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8"/>
      </right>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7" fillId="0" borderId="0"/>
    <xf numFmtId="0" fontId="51" fillId="0" borderId="0" applyNumberFormat="0" applyFill="0" applyBorder="0" applyAlignment="0" applyProtection="0"/>
  </cellStyleXfs>
  <cellXfs count="159">
    <xf numFmtId="0" fontId="0" fillId="0" borderId="0" xfId="0"/>
    <xf numFmtId="0" fontId="1" fillId="0" borderId="0" xfId="1"/>
    <xf numFmtId="0" fontId="2" fillId="0" borderId="0" xfId="1" applyFont="1"/>
    <xf numFmtId="0" fontId="3" fillId="0" borderId="0" xfId="1" applyFont="1"/>
    <xf numFmtId="0" fontId="4" fillId="0" borderId="0" xfId="1" applyFont="1" applyAlignment="1">
      <alignment horizontal="left" vertical="center"/>
    </xf>
    <xf numFmtId="0" fontId="5" fillId="0" borderId="0" xfId="1" applyFont="1" applyAlignment="1">
      <alignment vertical="center"/>
    </xf>
    <xf numFmtId="0" fontId="5" fillId="0" borderId="0" xfId="1" applyFont="1"/>
    <xf numFmtId="0" fontId="7" fillId="0" borderId="0" xfId="2" applyAlignment="1">
      <alignment horizontal="center" vertical="center"/>
    </xf>
    <xf numFmtId="0" fontId="8" fillId="0" borderId="0" xfId="1" applyFont="1" applyAlignment="1">
      <alignment horizontal="left" vertical="center"/>
    </xf>
    <xf numFmtId="0" fontId="1" fillId="0" borderId="0" xfId="1" applyAlignment="1">
      <alignment vertical="center"/>
    </xf>
    <xf numFmtId="0" fontId="9" fillId="0" borderId="0" xfId="1" applyFont="1" applyAlignment="1">
      <alignment vertical="center"/>
    </xf>
    <xf numFmtId="0" fontId="10" fillId="0" borderId="0" xfId="1" applyFont="1" applyAlignment="1">
      <alignment horizontal="center" vertical="center"/>
    </xf>
    <xf numFmtId="0" fontId="4" fillId="0" borderId="0" xfId="1" applyFont="1" applyAlignment="1">
      <alignment horizontal="left" vertical="top"/>
    </xf>
    <xf numFmtId="0" fontId="11" fillId="0" borderId="0" xfId="1" applyFont="1" applyAlignment="1">
      <alignment horizontal="center" vertical="center"/>
    </xf>
    <xf numFmtId="0" fontId="12" fillId="0" borderId="0" xfId="1" applyFont="1" applyAlignment="1">
      <alignment horizontal="center" vertical="center"/>
    </xf>
    <xf numFmtId="0" fontId="13" fillId="0" borderId="0" xfId="1" applyFont="1"/>
    <xf numFmtId="0" fontId="14" fillId="0" borderId="0" xfId="1" applyFont="1"/>
    <xf numFmtId="0" fontId="10" fillId="0" borderId="0" xfId="1" applyFont="1" applyAlignment="1">
      <alignment horizontal="justify" vertical="center"/>
    </xf>
    <xf numFmtId="0" fontId="15" fillId="0" borderId="0" xfId="1" applyFont="1"/>
    <xf numFmtId="49" fontId="15" fillId="0" borderId="0" xfId="1" applyNumberFormat="1" applyFont="1"/>
    <xf numFmtId="0" fontId="1" fillId="0" borderId="0" xfId="1" applyAlignment="1">
      <alignment horizontal="center"/>
    </xf>
    <xf numFmtId="0" fontId="1" fillId="0" borderId="0" xfId="1" applyAlignment="1">
      <alignment horizontal="left" vertical="center" wrapText="1"/>
    </xf>
    <xf numFmtId="0" fontId="1" fillId="0" borderId="0" xfId="1" applyAlignment="1">
      <alignment horizontal="center" vertical="center"/>
    </xf>
    <xf numFmtId="0" fontId="17" fillId="0" borderId="0" xfId="1" applyFont="1" applyAlignment="1">
      <alignment horizontal="center" vertical="top"/>
    </xf>
    <xf numFmtId="0" fontId="18" fillId="0" borderId="0" xfId="1" applyFont="1" applyAlignment="1">
      <alignment horizontal="center" vertical="center" wrapText="1"/>
    </xf>
    <xf numFmtId="0" fontId="9" fillId="0" borderId="0" xfId="1" applyFont="1" applyAlignment="1">
      <alignment horizontal="center" vertical="center"/>
    </xf>
    <xf numFmtId="14" fontId="10" fillId="0" borderId="1" xfId="1" applyNumberFormat="1" applyFont="1" applyBorder="1" applyAlignment="1">
      <alignment horizontal="center" vertical="center"/>
    </xf>
    <xf numFmtId="0" fontId="10" fillId="0" borderId="2" xfId="1" applyFont="1" applyBorder="1" applyAlignment="1">
      <alignment horizontal="left" vertical="center" wrapText="1"/>
    </xf>
    <xf numFmtId="0" fontId="10" fillId="0" borderId="2" xfId="1" applyFont="1" applyBorder="1" applyAlignment="1">
      <alignment horizontal="center" vertical="center"/>
    </xf>
    <xf numFmtId="0" fontId="10" fillId="0" borderId="3" xfId="1" applyFont="1" applyBorder="1" applyAlignment="1">
      <alignment horizontal="center" vertical="center"/>
    </xf>
    <xf numFmtId="0" fontId="10" fillId="0" borderId="0" xfId="1" applyFont="1"/>
    <xf numFmtId="14" fontId="19" fillId="0" borderId="4" xfId="1" applyNumberFormat="1" applyFont="1" applyBorder="1" applyAlignment="1">
      <alignment horizontal="center" vertical="center"/>
    </xf>
    <xf numFmtId="0" fontId="10" fillId="0" borderId="5" xfId="1" applyFont="1" applyBorder="1" applyAlignment="1">
      <alignment horizontal="left" vertical="center" wrapText="1"/>
    </xf>
    <xf numFmtId="0" fontId="10" fillId="0" borderId="5" xfId="1" applyFont="1" applyBorder="1" applyAlignment="1">
      <alignment horizontal="center" vertical="center"/>
    </xf>
    <xf numFmtId="0" fontId="10" fillId="0" borderId="6" xfId="1" applyFont="1" applyBorder="1" applyAlignment="1">
      <alignment horizontal="center" vertical="center"/>
    </xf>
    <xf numFmtId="0" fontId="12" fillId="0" borderId="0" xfId="1" applyFont="1"/>
    <xf numFmtId="49" fontId="10" fillId="0" borderId="0" xfId="1" applyNumberFormat="1" applyFont="1"/>
    <xf numFmtId="0" fontId="20" fillId="0" borderId="0" xfId="1" applyFont="1"/>
    <xf numFmtId="49" fontId="19" fillId="0" borderId="0" xfId="2" applyNumberFormat="1" applyFont="1" applyAlignment="1">
      <alignment vertical="center" wrapText="1"/>
    </xf>
    <xf numFmtId="14" fontId="10" fillId="0" borderId="7" xfId="1" applyNumberFormat="1" applyFont="1" applyBorder="1" applyAlignment="1">
      <alignment horizontal="center" vertical="center"/>
    </xf>
    <xf numFmtId="0" fontId="10" fillId="0" borderId="8" xfId="1" applyFont="1" applyBorder="1" applyAlignment="1">
      <alignment horizontal="left" vertical="center" wrapText="1"/>
    </xf>
    <xf numFmtId="0" fontId="10" fillId="0" borderId="8" xfId="1" applyFont="1" applyBorder="1" applyAlignment="1">
      <alignment horizontal="center" vertical="center"/>
    </xf>
    <xf numFmtId="0" fontId="19" fillId="0" borderId="4" xfId="1" applyFont="1" applyBorder="1" applyAlignment="1">
      <alignment horizontal="center" vertical="center"/>
    </xf>
    <xf numFmtId="0" fontId="19" fillId="0" borderId="9" xfId="1" applyFont="1" applyBorder="1" applyAlignment="1">
      <alignment horizontal="center" vertical="center"/>
    </xf>
    <xf numFmtId="0" fontId="10" fillId="0" borderId="10" xfId="1" applyFont="1" applyBorder="1" applyAlignment="1">
      <alignment horizontal="left" vertical="center" wrapText="1"/>
    </xf>
    <xf numFmtId="0" fontId="10" fillId="0" borderId="10" xfId="1" applyFont="1" applyBorder="1" applyAlignment="1">
      <alignment horizontal="center" vertical="center"/>
    </xf>
    <xf numFmtId="0" fontId="12" fillId="0" borderId="5" xfId="1" applyFont="1" applyBorder="1" applyAlignment="1">
      <alignment horizontal="center" vertical="center"/>
    </xf>
    <xf numFmtId="0" fontId="10" fillId="0" borderId="11" xfId="1" applyFont="1" applyBorder="1" applyAlignment="1">
      <alignment horizontal="center" vertical="center"/>
    </xf>
    <xf numFmtId="0" fontId="21" fillId="0" borderId="0" xfId="0" applyFont="1" applyAlignment="1">
      <alignment horizontal="center" vertical="center"/>
    </xf>
    <xf numFmtId="0" fontId="5" fillId="0" borderId="0" xfId="1" applyFont="1" applyAlignment="1">
      <alignment vertical="top" wrapText="1"/>
    </xf>
    <xf numFmtId="0" fontId="15" fillId="0" borderId="0" xfId="1" applyFont="1" applyAlignment="1">
      <alignment horizontal="left"/>
    </xf>
    <xf numFmtId="0" fontId="22" fillId="0" borderId="0" xfId="1" applyFont="1"/>
    <xf numFmtId="0" fontId="23" fillId="0" borderId="0" xfId="1" applyFont="1"/>
    <xf numFmtId="0" fontId="24" fillId="0" borderId="0" xfId="0" applyFont="1" applyAlignment="1">
      <alignment horizontal="center" vertical="center"/>
    </xf>
    <xf numFmtId="0" fontId="25" fillId="0" borderId="0" xfId="1" applyFont="1"/>
    <xf numFmtId="0" fontId="43" fillId="0" borderId="0" xfId="0" applyFont="1"/>
    <xf numFmtId="0" fontId="7" fillId="0" borderId="0" xfId="2"/>
    <xf numFmtId="0" fontId="44" fillId="0" borderId="0" xfId="0" applyFont="1"/>
    <xf numFmtId="0" fontId="15" fillId="0" borderId="0" xfId="1" applyFont="1" applyAlignment="1">
      <alignment vertical="center" wrapText="1"/>
    </xf>
    <xf numFmtId="0" fontId="1" fillId="0" borderId="0" xfId="1" applyAlignment="1">
      <alignment wrapText="1"/>
    </xf>
    <xf numFmtId="0" fontId="26" fillId="0" borderId="0" xfId="1" applyFont="1" applyAlignment="1">
      <alignment horizontal="center" vertical="center"/>
    </xf>
    <xf numFmtId="0" fontId="27" fillId="0" borderId="0" xfId="1" applyFont="1" applyAlignment="1">
      <alignment vertical="top" wrapText="1"/>
    </xf>
    <xf numFmtId="0" fontId="29" fillId="0" borderId="0" xfId="0" applyFont="1" applyAlignment="1">
      <alignment vertical="center"/>
    </xf>
    <xf numFmtId="0" fontId="32" fillId="0" borderId="0" xfId="1" applyFont="1" applyAlignment="1">
      <alignment vertical="center" wrapText="1"/>
    </xf>
    <xf numFmtId="0" fontId="32" fillId="0" borderId="0" xfId="1" applyFont="1" applyAlignment="1">
      <alignment vertical="top" wrapText="1"/>
    </xf>
    <xf numFmtId="0" fontId="32" fillId="0" borderId="0" xfId="1" applyFont="1"/>
    <xf numFmtId="0" fontId="33" fillId="0" borderId="0" xfId="1" applyFont="1"/>
    <xf numFmtId="0" fontId="34" fillId="0" borderId="0" xfId="1" applyFont="1"/>
    <xf numFmtId="0" fontId="35" fillId="0" borderId="0" xfId="1" applyFont="1"/>
    <xf numFmtId="0" fontId="36" fillId="0" borderId="0" xfId="1" applyFont="1" applyAlignment="1">
      <alignment horizontal="center"/>
    </xf>
    <xf numFmtId="0" fontId="6" fillId="0" borderId="0" xfId="1" applyFont="1" applyAlignment="1">
      <alignment horizontal="center" vertical="center" wrapText="1"/>
    </xf>
    <xf numFmtId="0" fontId="45" fillId="0" borderId="0" xfId="1" applyFont="1" applyAlignment="1">
      <alignment horizontal="center" vertical="center" wrapText="1"/>
    </xf>
    <xf numFmtId="0" fontId="13" fillId="3" borderId="12" xfId="1" applyFont="1" applyFill="1" applyBorder="1" applyAlignment="1">
      <alignment horizontal="center" vertical="center" wrapText="1"/>
    </xf>
    <xf numFmtId="0" fontId="13" fillId="3" borderId="13" xfId="1" applyFont="1" applyFill="1" applyBorder="1" applyAlignment="1">
      <alignment horizontal="center" vertical="center" wrapText="1"/>
    </xf>
    <xf numFmtId="0" fontId="13" fillId="3" borderId="14" xfId="1" applyFont="1" applyFill="1" applyBorder="1" applyAlignment="1">
      <alignment horizontal="center" vertical="center" wrapText="1"/>
    </xf>
    <xf numFmtId="0" fontId="37" fillId="0" borderId="0" xfId="1" applyFont="1" applyAlignment="1">
      <alignment horizontal="center" vertical="center"/>
    </xf>
    <xf numFmtId="0" fontId="34" fillId="0" borderId="0" xfId="1" applyFont="1" applyAlignment="1">
      <alignment horizontal="right"/>
    </xf>
    <xf numFmtId="0" fontId="46" fillId="0" borderId="0" xfId="1" applyFont="1" applyAlignment="1">
      <alignment horizontal="center"/>
    </xf>
    <xf numFmtId="49" fontId="37" fillId="0" borderId="0" xfId="1" applyNumberFormat="1" applyFont="1" applyAlignment="1">
      <alignment horizontal="center" vertical="center" wrapText="1"/>
    </xf>
    <xf numFmtId="0" fontId="16" fillId="4" borderId="0" xfId="1" applyFont="1" applyFill="1" applyAlignment="1">
      <alignment horizontal="center"/>
    </xf>
    <xf numFmtId="0" fontId="13" fillId="5" borderId="12" xfId="1" applyFont="1" applyFill="1" applyBorder="1" applyAlignment="1">
      <alignment horizontal="center" vertical="center" wrapText="1"/>
    </xf>
    <xf numFmtId="0" fontId="13" fillId="5" borderId="13" xfId="1" applyFont="1" applyFill="1" applyBorder="1" applyAlignment="1">
      <alignment horizontal="center" vertical="center" wrapText="1"/>
    </xf>
    <xf numFmtId="0" fontId="13" fillId="5" borderId="14" xfId="1" applyFont="1" applyFill="1" applyBorder="1" applyAlignment="1">
      <alignment horizontal="center" vertical="center" wrapText="1"/>
    </xf>
    <xf numFmtId="0" fontId="38" fillId="0" borderId="0" xfId="1" applyFont="1" applyAlignment="1">
      <alignment horizontal="left"/>
    </xf>
    <xf numFmtId="0" fontId="16" fillId="6" borderId="0" xfId="1" applyFont="1" applyFill="1" applyAlignment="1">
      <alignment horizontal="center"/>
    </xf>
    <xf numFmtId="0" fontId="13" fillId="7" borderId="12" xfId="1" applyFont="1" applyFill="1" applyBorder="1" applyAlignment="1">
      <alignment horizontal="center" vertical="center" wrapText="1"/>
    </xf>
    <xf numFmtId="0" fontId="13" fillId="7" borderId="13" xfId="1" applyFont="1" applyFill="1" applyBorder="1" applyAlignment="1">
      <alignment horizontal="center" vertical="center" wrapText="1"/>
    </xf>
    <xf numFmtId="0" fontId="13" fillId="7" borderId="14" xfId="1" applyFont="1" applyFill="1" applyBorder="1" applyAlignment="1">
      <alignment horizontal="center" vertical="center" wrapText="1"/>
    </xf>
    <xf numFmtId="0" fontId="16" fillId="8" borderId="0" xfId="1" applyFont="1" applyFill="1" applyAlignment="1">
      <alignment horizontal="center"/>
    </xf>
    <xf numFmtId="0" fontId="31" fillId="9" borderId="15" xfId="1" applyFont="1" applyFill="1" applyBorder="1" applyAlignment="1">
      <alignment horizontal="left" vertical="center" wrapText="1"/>
    </xf>
    <xf numFmtId="0" fontId="10" fillId="0" borderId="16" xfId="1" applyFont="1" applyBorder="1" applyAlignment="1">
      <alignment horizontal="center" vertical="center"/>
    </xf>
    <xf numFmtId="14" fontId="10" fillId="0" borderId="17" xfId="1" applyNumberFormat="1" applyFont="1" applyBorder="1" applyAlignment="1">
      <alignment horizontal="center" vertical="center"/>
    </xf>
    <xf numFmtId="0" fontId="10" fillId="0" borderId="18" xfId="1" applyFont="1" applyBorder="1" applyAlignment="1">
      <alignment horizontal="left" vertical="center" wrapText="1"/>
    </xf>
    <xf numFmtId="0" fontId="10" fillId="0" borderId="19" xfId="1" applyFont="1" applyBorder="1" applyAlignment="1">
      <alignment horizontal="center" vertical="center"/>
    </xf>
    <xf numFmtId="0" fontId="10" fillId="0" borderId="20" xfId="1" applyFont="1" applyBorder="1" applyAlignment="1">
      <alignment horizontal="left" vertical="center" wrapText="1"/>
    </xf>
    <xf numFmtId="0" fontId="10" fillId="10" borderId="21" xfId="1" applyFont="1" applyFill="1" applyBorder="1" applyAlignment="1">
      <alignment horizontal="left" vertical="center" wrapText="1"/>
    </xf>
    <xf numFmtId="14" fontId="19" fillId="10" borderId="22" xfId="1" applyNumberFormat="1" applyFont="1" applyFill="1" applyBorder="1" applyAlignment="1">
      <alignment horizontal="center" vertical="center"/>
    </xf>
    <xf numFmtId="0" fontId="10" fillId="10" borderId="23" xfId="1" applyFont="1" applyFill="1" applyBorder="1" applyAlignment="1">
      <alignment horizontal="left" vertical="center" wrapText="1"/>
    </xf>
    <xf numFmtId="0" fontId="10" fillId="10" borderId="24" xfId="1" applyFont="1" applyFill="1" applyBorder="1" applyAlignment="1">
      <alignment horizontal="center" vertical="center"/>
    </xf>
    <xf numFmtId="0" fontId="10" fillId="9" borderId="21" xfId="1" applyFont="1" applyFill="1" applyBorder="1" applyAlignment="1">
      <alignment horizontal="left" vertical="center" wrapText="1"/>
    </xf>
    <xf numFmtId="0" fontId="10" fillId="9" borderId="20" xfId="1" applyFont="1" applyFill="1" applyBorder="1" applyAlignment="1">
      <alignment horizontal="left" vertical="center" wrapText="1"/>
    </xf>
    <xf numFmtId="0" fontId="10" fillId="9" borderId="25" xfId="1" applyFont="1" applyFill="1" applyBorder="1" applyAlignment="1">
      <alignment horizontal="left" vertical="center" wrapText="1"/>
    </xf>
    <xf numFmtId="0" fontId="10" fillId="10" borderId="26" xfId="1" applyFont="1" applyFill="1" applyBorder="1" applyAlignment="1">
      <alignment horizontal="center" vertical="center"/>
    </xf>
    <xf numFmtId="0" fontId="10" fillId="10" borderId="27" xfId="1" applyFont="1" applyFill="1" applyBorder="1" applyAlignment="1">
      <alignment horizontal="center" vertical="center"/>
    </xf>
    <xf numFmtId="0" fontId="10" fillId="10" borderId="16" xfId="1" applyFont="1" applyFill="1" applyBorder="1" applyAlignment="1">
      <alignment horizontal="center" vertical="center"/>
    </xf>
    <xf numFmtId="14" fontId="39" fillId="9" borderId="28" xfId="1" applyNumberFormat="1" applyFont="1" applyFill="1" applyBorder="1" applyAlignment="1">
      <alignment horizontal="center" vertical="center" wrapText="1"/>
    </xf>
    <xf numFmtId="14" fontId="19" fillId="10" borderId="24" xfId="1" applyNumberFormat="1" applyFont="1" applyFill="1" applyBorder="1" applyAlignment="1">
      <alignment horizontal="left" vertical="center"/>
    </xf>
    <xf numFmtId="0" fontId="10" fillId="0" borderId="26" xfId="1" applyFont="1" applyBorder="1" applyAlignment="1">
      <alignment horizontal="center" vertical="center"/>
    </xf>
    <xf numFmtId="0" fontId="19" fillId="0" borderId="29" xfId="1" applyFont="1" applyBorder="1" applyAlignment="1">
      <alignment horizontal="center" vertical="center"/>
    </xf>
    <xf numFmtId="0" fontId="10" fillId="0" borderId="30" xfId="1" applyFont="1" applyBorder="1" applyAlignment="1">
      <alignment horizontal="left" vertical="center" wrapText="1"/>
    </xf>
    <xf numFmtId="0" fontId="10" fillId="0" borderId="30" xfId="1" applyFont="1" applyBorder="1" applyAlignment="1">
      <alignment horizontal="center" vertical="center"/>
    </xf>
    <xf numFmtId="0" fontId="10" fillId="0" borderId="31" xfId="1" applyFont="1" applyBorder="1" applyAlignment="1">
      <alignment horizontal="center" vertical="center"/>
    </xf>
    <xf numFmtId="14" fontId="19" fillId="0" borderId="29" xfId="1" applyNumberFormat="1" applyFont="1" applyBorder="1" applyAlignment="1">
      <alignment horizontal="center" vertical="center"/>
    </xf>
    <xf numFmtId="14" fontId="19" fillId="0" borderId="7" xfId="1" applyNumberFormat="1" applyFont="1" applyBorder="1" applyAlignment="1">
      <alignment horizontal="center" vertical="center"/>
    </xf>
    <xf numFmtId="14" fontId="10" fillId="0" borderId="32" xfId="1" applyNumberFormat="1" applyFont="1" applyBorder="1" applyAlignment="1">
      <alignment horizontal="center" vertical="center"/>
    </xf>
    <xf numFmtId="0" fontId="10" fillId="0" borderId="33" xfId="1" applyFont="1" applyBorder="1" applyAlignment="1">
      <alignment horizontal="left" vertical="center" wrapText="1"/>
    </xf>
    <xf numFmtId="0" fontId="10" fillId="0" borderId="33" xfId="1" applyFont="1" applyBorder="1" applyAlignment="1">
      <alignment horizontal="center" vertical="center"/>
    </xf>
    <xf numFmtId="0" fontId="10" fillId="0" borderId="34" xfId="1" applyFont="1" applyBorder="1" applyAlignment="1">
      <alignment horizontal="center" vertical="center"/>
    </xf>
    <xf numFmtId="0" fontId="47" fillId="0" borderId="35" xfId="0" applyFont="1" applyBorder="1" applyAlignment="1">
      <alignment vertical="center"/>
    </xf>
    <xf numFmtId="0" fontId="48" fillId="0" borderId="35" xfId="1" applyFont="1" applyBorder="1"/>
    <xf numFmtId="0" fontId="7" fillId="0" borderId="35" xfId="2" applyBorder="1"/>
    <xf numFmtId="0" fontId="49" fillId="0" borderId="35" xfId="0" applyFont="1" applyBorder="1"/>
    <xf numFmtId="49" fontId="31" fillId="4" borderId="35" xfId="1" applyNumberFormat="1" applyFont="1" applyFill="1" applyBorder="1" applyAlignment="1">
      <alignment horizontal="left"/>
    </xf>
    <xf numFmtId="49" fontId="31" fillId="6" borderId="35" xfId="1" applyNumberFormat="1" applyFont="1" applyFill="1" applyBorder="1" applyAlignment="1">
      <alignment horizontal="left"/>
    </xf>
    <xf numFmtId="49" fontId="31" fillId="11" borderId="35" xfId="1" applyNumberFormat="1" applyFont="1" applyFill="1" applyBorder="1" applyAlignment="1">
      <alignment horizontal="left"/>
    </xf>
    <xf numFmtId="0" fontId="24" fillId="12" borderId="35" xfId="0" applyFont="1" applyFill="1" applyBorder="1"/>
    <xf numFmtId="0" fontId="0" fillId="0" borderId="35" xfId="0" applyBorder="1"/>
    <xf numFmtId="0" fontId="41" fillId="9" borderId="36" xfId="1" applyFont="1" applyFill="1" applyBorder="1" applyAlignment="1">
      <alignment horizontal="center" vertical="center" wrapText="1"/>
    </xf>
    <xf numFmtId="1" fontId="10" fillId="9" borderId="37" xfId="1" applyNumberFormat="1" applyFont="1" applyFill="1" applyBorder="1" applyAlignment="1">
      <alignment horizontal="center" vertical="center"/>
    </xf>
    <xf numFmtId="1" fontId="19" fillId="9" borderId="38" xfId="1" applyNumberFormat="1" applyFont="1" applyFill="1" applyBorder="1" applyAlignment="1">
      <alignment horizontal="center" vertical="center"/>
    </xf>
    <xf numFmtId="1" fontId="19" fillId="9" borderId="39" xfId="1" applyNumberFormat="1" applyFont="1" applyFill="1" applyBorder="1" applyAlignment="1">
      <alignment horizontal="center" vertical="center"/>
    </xf>
    <xf numFmtId="0" fontId="42" fillId="13" borderId="0" xfId="0" applyFont="1" applyFill="1" applyAlignment="1">
      <alignment vertical="center"/>
    </xf>
    <xf numFmtId="0" fontId="50" fillId="0" borderId="0" xfId="1" applyFont="1" applyAlignment="1">
      <alignment vertical="center" wrapText="1"/>
    </xf>
    <xf numFmtId="0" fontId="5" fillId="9" borderId="36" xfId="1" applyFont="1" applyFill="1" applyBorder="1" applyAlignment="1">
      <alignment vertical="top" wrapText="1"/>
    </xf>
    <xf numFmtId="0" fontId="41" fillId="0" borderId="40" xfId="1" applyFont="1" applyBorder="1" applyAlignment="1">
      <alignment horizontal="left" vertical="center" wrapText="1"/>
    </xf>
    <xf numFmtId="2" fontId="10" fillId="0" borderId="5" xfId="1" applyNumberFormat="1" applyFont="1" applyBorder="1" applyAlignment="1">
      <alignment horizontal="center" vertical="center"/>
    </xf>
    <xf numFmtId="17" fontId="41" fillId="9" borderId="36" xfId="1" applyNumberFormat="1" applyFont="1" applyFill="1" applyBorder="1" applyAlignment="1">
      <alignment horizontal="center" vertical="center" wrapText="1"/>
    </xf>
    <xf numFmtId="0" fontId="51" fillId="0" borderId="0" xfId="3"/>
    <xf numFmtId="0" fontId="31" fillId="0" borderId="2" xfId="1" applyFont="1" applyBorder="1" applyAlignment="1">
      <alignment horizontal="center" vertical="center"/>
    </xf>
    <xf numFmtId="0" fontId="31" fillId="0" borderId="5" xfId="1" applyFont="1" applyBorder="1" applyAlignment="1">
      <alignment horizontal="center" vertical="center"/>
    </xf>
    <xf numFmtId="0" fontId="6" fillId="2" borderId="41" xfId="1" applyFont="1" applyFill="1" applyBorder="1" applyAlignment="1">
      <alignment horizontal="left"/>
    </xf>
    <xf numFmtId="0" fontId="6" fillId="2" borderId="42" xfId="1" applyFont="1" applyFill="1" applyBorder="1" applyAlignment="1">
      <alignment horizontal="left"/>
    </xf>
    <xf numFmtId="0" fontId="6" fillId="2" borderId="43" xfId="1" applyFont="1" applyFill="1" applyBorder="1" applyAlignment="1">
      <alignment horizontal="left"/>
    </xf>
    <xf numFmtId="0" fontId="30" fillId="0" borderId="41" xfId="1" applyFont="1" applyBorder="1" applyAlignment="1">
      <alignment horizontal="left" vertical="center" wrapText="1"/>
    </xf>
    <xf numFmtId="0" fontId="15" fillId="0" borderId="42" xfId="1" applyFont="1" applyBorder="1" applyAlignment="1">
      <alignment horizontal="left" vertical="center" wrapText="1"/>
    </xf>
    <xf numFmtId="0" fontId="15" fillId="0" borderId="43" xfId="1" applyFont="1" applyBorder="1" applyAlignment="1">
      <alignment horizontal="left" vertical="center" wrapText="1"/>
    </xf>
    <xf numFmtId="0" fontId="50" fillId="0" borderId="0" xfId="1" applyFont="1" applyAlignment="1">
      <alignment horizontal="left" vertical="center" wrapText="1"/>
    </xf>
    <xf numFmtId="0" fontId="32" fillId="0" borderId="0" xfId="1" applyFont="1" applyAlignment="1">
      <alignment horizontal="left" vertical="center" wrapText="1"/>
    </xf>
    <xf numFmtId="0" fontId="28" fillId="0" borderId="41" xfId="1" applyFont="1" applyBorder="1" applyAlignment="1">
      <alignment horizontal="left" vertical="top" wrapText="1"/>
    </xf>
    <xf numFmtId="0" fontId="28" fillId="0" borderId="42" xfId="1" applyFont="1" applyBorder="1" applyAlignment="1">
      <alignment horizontal="left" vertical="top" wrapText="1"/>
    </xf>
    <xf numFmtId="0" fontId="28" fillId="0" borderId="43" xfId="1" applyFont="1" applyBorder="1" applyAlignment="1">
      <alignment horizontal="left" vertical="top" wrapText="1"/>
    </xf>
    <xf numFmtId="0" fontId="31" fillId="9" borderId="41" xfId="1" applyFont="1" applyFill="1" applyBorder="1" applyAlignment="1">
      <alignment horizontal="left" vertical="center" wrapText="1"/>
    </xf>
    <xf numFmtId="0" fontId="31" fillId="9" borderId="43" xfId="1" applyFont="1" applyFill="1" applyBorder="1" applyAlignment="1">
      <alignment horizontal="left" vertical="center" wrapText="1"/>
    </xf>
    <xf numFmtId="0" fontId="0" fillId="9" borderId="44" xfId="0" applyFill="1" applyBorder="1" applyAlignment="1">
      <alignment horizontal="left" vertical="top" wrapText="1"/>
    </xf>
    <xf numFmtId="0" fontId="0" fillId="9" borderId="45" xfId="0" applyFill="1" applyBorder="1" applyAlignment="1">
      <alignment horizontal="left" vertical="top" wrapText="1"/>
    </xf>
    <xf numFmtId="0" fontId="0" fillId="9" borderId="46" xfId="0" applyFill="1" applyBorder="1" applyAlignment="1">
      <alignment horizontal="left" vertical="top" wrapText="1"/>
    </xf>
    <xf numFmtId="0" fontId="0" fillId="9" borderId="47" xfId="0" applyFill="1" applyBorder="1" applyAlignment="1">
      <alignment horizontal="left" vertical="top" wrapText="1"/>
    </xf>
    <xf numFmtId="0" fontId="0" fillId="9" borderId="48" xfId="0" applyFill="1" applyBorder="1" applyAlignment="1">
      <alignment horizontal="left" vertical="top" wrapText="1"/>
    </xf>
    <xf numFmtId="0" fontId="0" fillId="9" borderId="49" xfId="0" applyFill="1" applyBorder="1" applyAlignment="1">
      <alignment horizontal="left" vertical="top" wrapText="1"/>
    </xf>
  </cellXfs>
  <cellStyles count="4">
    <cellStyle name="Excel Built-in Normal" xfId="1" xr:uid="{B32F3094-5D74-47ED-B0D7-0B5F576FEA5C}"/>
    <cellStyle name="Hyperlink" xfId="3" xr:uid="{00000000-000B-0000-0000-000008000000}"/>
    <cellStyle name="Link" xfId="2"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403860</xdr:colOff>
      <xdr:row>0</xdr:row>
      <xdr:rowOff>137160</xdr:rowOff>
    </xdr:from>
    <xdr:to>
      <xdr:col>5</xdr:col>
      <xdr:colOff>1752600</xdr:colOff>
      <xdr:row>2</xdr:row>
      <xdr:rowOff>76200</xdr:rowOff>
    </xdr:to>
    <xdr:pic>
      <xdr:nvPicPr>
        <xdr:cNvPr id="1412" name="Grafik 2">
          <a:extLst>
            <a:ext uri="{FF2B5EF4-FFF2-40B4-BE49-F238E27FC236}">
              <a16:creationId xmlns:a16="http://schemas.microsoft.com/office/drawing/2014/main" id="{2CD42458-8FF8-BF8B-7AF4-6F095CADE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7780" y="137160"/>
          <a:ext cx="1348740" cy="47244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38100</xdr:colOff>
      <xdr:row>11</xdr:row>
      <xdr:rowOff>190499</xdr:rowOff>
    </xdr:from>
    <xdr:to>
      <xdr:col>6</xdr:col>
      <xdr:colOff>19050</xdr:colOff>
      <xdr:row>12</xdr:row>
      <xdr:rowOff>3669038</xdr:rowOff>
    </xdr:to>
    <xdr:sp macro="" textlink="">
      <xdr:nvSpPr>
        <xdr:cNvPr id="2" name="Textfeld 1">
          <a:extLst>
            <a:ext uri="{FF2B5EF4-FFF2-40B4-BE49-F238E27FC236}">
              <a16:creationId xmlns:a16="http://schemas.microsoft.com/office/drawing/2014/main" id="{4FEF3446-1342-DFA1-6658-DA9331F42A70}"/>
            </a:ext>
          </a:extLst>
        </xdr:cNvPr>
        <xdr:cNvSpPr txBox="1"/>
      </xdr:nvSpPr>
      <xdr:spPr>
        <a:xfrm>
          <a:off x="38100" y="3800474"/>
          <a:ext cx="10115550" cy="3695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de-DE" sz="1100" b="1">
              <a:solidFill>
                <a:schemeClr val="dk1"/>
              </a:solidFill>
              <a:effectLst/>
              <a:latin typeface="+mn-lt"/>
              <a:ea typeface="+mn-ea"/>
              <a:cs typeface="+mn-cs"/>
            </a:rPr>
            <a:t> </a:t>
          </a:r>
          <a:r>
            <a:rPr lang="de-DE" sz="1100" b="1" i="0">
              <a:solidFill>
                <a:schemeClr val="dk1"/>
              </a:solidFill>
              <a:effectLst/>
              <a:latin typeface="+mn-lt"/>
              <a:ea typeface="+mn-ea"/>
              <a:cs typeface="+mn-cs"/>
            </a:rPr>
            <a:t>Bitte beachten Sie, dass pro Klausur max 1,5 Std inkl. Besprechung eingeplant sind. Danke V. K.</a:t>
          </a:r>
          <a:r>
            <a:rPr lang="de-DE" sz="1100" b="1">
              <a:solidFill>
                <a:schemeClr val="dk1"/>
              </a:solidFill>
              <a:effectLst/>
              <a:latin typeface="+mn-lt"/>
              <a:ea typeface="+mn-ea"/>
              <a:cs typeface="+mn-cs"/>
            </a:rPr>
            <a:t> </a:t>
          </a:r>
          <a:endParaRPr lang="de-DE" sz="1400">
            <a:effectLst/>
          </a:endParaRPr>
        </a:p>
        <a:p>
          <a:endParaRPr lang="de-DE" sz="1400" b="0" i="0" u="none" strike="noStrike" baseline="0">
            <a:solidFill>
              <a:schemeClr val="dk1"/>
            </a:solidFill>
            <a:latin typeface="+mn-lt"/>
            <a:ea typeface="+mn-ea"/>
            <a:cs typeface="+mn-cs"/>
          </a:endParaRPr>
        </a:p>
        <a:p>
          <a:r>
            <a:rPr lang="de-DE" sz="1400" b="1" i="0" u="none" strike="noStrike" baseline="0">
              <a:solidFill>
                <a:schemeClr val="dk1"/>
              </a:solidFill>
              <a:latin typeface="+mn-lt"/>
              <a:ea typeface="+mn-ea"/>
              <a:cs typeface="+mn-cs"/>
            </a:rPr>
            <a:t>Vertrag 2663: </a:t>
          </a:r>
          <a:r>
            <a:rPr lang="de-DE" sz="1100" b="1">
              <a:solidFill>
                <a:schemeClr val="dk1"/>
              </a:solidFill>
              <a:effectLst/>
              <a:latin typeface="+mn-lt"/>
              <a:ea typeface="+mn-ea"/>
              <a:cs typeface="+mn-cs"/>
            </a:rPr>
            <a:t> </a:t>
          </a:r>
          <a:endParaRPr lang="de-DE" sz="1100">
            <a:solidFill>
              <a:schemeClr val="dk1"/>
            </a:solidFill>
            <a:effectLst/>
            <a:latin typeface="+mn-lt"/>
            <a:ea typeface="+mn-ea"/>
            <a:cs typeface="+mn-cs"/>
          </a:endParaRPr>
        </a:p>
        <a:p>
          <a:r>
            <a:rPr lang="de-DE" sz="1100">
              <a:solidFill>
                <a:schemeClr val="dk1"/>
              </a:solidFill>
              <a:effectLst/>
              <a:latin typeface="+mn-lt"/>
              <a:ea typeface="+mn-ea"/>
              <a:cs typeface="+mn-cs"/>
            </a:rPr>
            <a:t>Die Akademie Kraatz GmbH verpflichtet sich, dem o.g. Teilnehmer auf den Rechtsgebieten des Zivilrechts, Öffentliches Rechts und Strafrechts </a:t>
          </a:r>
          <a:r>
            <a:rPr lang="de-DE" sz="1100" b="1">
              <a:solidFill>
                <a:schemeClr val="dk1"/>
              </a:solidFill>
              <a:effectLst/>
              <a:latin typeface="+mn-lt"/>
              <a:ea typeface="+mn-ea"/>
              <a:cs typeface="+mn-cs"/>
            </a:rPr>
            <a:t>Einzelunterricht via Videotelefonie </a:t>
          </a:r>
          <a:r>
            <a:rPr lang="de-DE" sz="1100">
              <a:solidFill>
                <a:schemeClr val="dk1"/>
              </a:solidFill>
              <a:effectLst/>
              <a:latin typeface="+mn-lt"/>
              <a:ea typeface="+mn-ea"/>
              <a:cs typeface="+mn-cs"/>
            </a:rPr>
            <a:t>mit einer Gesamtstundenanzahl von </a:t>
          </a:r>
          <a:r>
            <a:rPr lang="de-DE" sz="1100" b="1">
              <a:solidFill>
                <a:schemeClr val="dk1"/>
              </a:solidFill>
              <a:effectLst/>
              <a:latin typeface="+mn-lt"/>
              <a:ea typeface="+mn-ea"/>
              <a:cs typeface="+mn-cs"/>
            </a:rPr>
            <a:t>140</a:t>
          </a:r>
          <a:r>
            <a:rPr lang="de-DE" sz="1100">
              <a:solidFill>
                <a:schemeClr val="dk1"/>
              </a:solidFill>
              <a:effectLst/>
              <a:latin typeface="+mn-lt"/>
              <a:ea typeface="+mn-ea"/>
              <a:cs typeface="+mn-cs"/>
            </a:rPr>
            <a:t> </a:t>
          </a:r>
          <a:r>
            <a:rPr lang="de-DE" sz="1100" b="1">
              <a:solidFill>
                <a:schemeClr val="dk1"/>
              </a:solidFill>
              <a:effectLst/>
              <a:latin typeface="+mn-lt"/>
              <a:ea typeface="+mn-ea"/>
              <a:cs typeface="+mn-cs"/>
            </a:rPr>
            <a:t>Unterrichtsstunden</a:t>
          </a:r>
          <a:r>
            <a:rPr lang="de-DE" sz="1100">
              <a:solidFill>
                <a:schemeClr val="dk1"/>
              </a:solidFill>
              <a:effectLst/>
              <a:latin typeface="+mn-lt"/>
              <a:ea typeface="+mn-ea"/>
              <a:cs typeface="+mn-cs"/>
            </a:rPr>
            <a:t> in Vorbereitung auf das     </a:t>
          </a:r>
          <a:r>
            <a:rPr lang="de-DE" sz="1100" b="1">
              <a:solidFill>
                <a:schemeClr val="dk1"/>
              </a:solidFill>
              <a:effectLst/>
              <a:latin typeface="+mn-lt"/>
              <a:ea typeface="+mn-ea"/>
              <a:cs typeface="+mn-cs"/>
            </a:rPr>
            <a:t>1. Staatsexamen </a:t>
          </a:r>
          <a:r>
            <a:rPr lang="de-DE" sz="1100">
              <a:solidFill>
                <a:schemeClr val="dk1"/>
              </a:solidFill>
              <a:effectLst/>
              <a:latin typeface="+mn-lt"/>
              <a:ea typeface="+mn-ea"/>
              <a:cs typeface="+mn-cs"/>
            </a:rPr>
            <a:t>zu erteilen. Die 140 Unterrichtsstunden teilen sich in 55 Stunden Zivilrecht, 50 Stunden Öffentliches Recht und 35 Stunden Strafrecht auf. Von den 140 Unterrichtsstunden sind 20 Std (10 Std im ZR, 6 Std im ÖR und 4 Std im StR) mit 0,5 h/Klausur Korrekturzeit für die Klausurkorrekturen, insgesamt 40 Klausuren, einkalkuliert. Sollten keine oder weniger als 40 Klausuren abgegeben worden sein, werden die Dozenten, für die nicht in Anspruch genommenen Korrekturen Unterrichtsstunden anbieten. Die Materialien (Sachverhalte, Lösungen, Übersichten) erhält der Teilnehmer digital per E-Mail von dem jeweiligen Dozenten. </a:t>
          </a:r>
        </a:p>
        <a:p>
          <a:r>
            <a:rPr lang="de-DE" sz="1100">
              <a:solidFill>
                <a:schemeClr val="dk1"/>
              </a:solidFill>
              <a:effectLst/>
              <a:latin typeface="+mn-lt"/>
              <a:ea typeface="+mn-ea"/>
              <a:cs typeface="+mn-cs"/>
            </a:rPr>
            <a:t> </a:t>
          </a:r>
        </a:p>
        <a:p>
          <a:r>
            <a:rPr lang="de-DE" sz="1100">
              <a:solidFill>
                <a:schemeClr val="dk1"/>
              </a:solidFill>
              <a:effectLst/>
              <a:latin typeface="+mn-lt"/>
              <a:ea typeface="+mn-ea"/>
              <a:cs typeface="+mn-cs"/>
            </a:rPr>
            <a:t>Der Vertrag beginnt am </a:t>
          </a:r>
          <a:r>
            <a:rPr lang="de-DE" sz="1100" b="1">
              <a:solidFill>
                <a:schemeClr val="dk1"/>
              </a:solidFill>
              <a:effectLst/>
              <a:latin typeface="+mn-lt"/>
              <a:ea typeface="+mn-ea"/>
              <a:cs typeface="+mn-cs"/>
            </a:rPr>
            <a:t>10.11.2025 </a:t>
          </a:r>
          <a:r>
            <a:rPr lang="de-DE" sz="1100">
              <a:solidFill>
                <a:schemeClr val="dk1"/>
              </a:solidFill>
              <a:effectLst/>
              <a:latin typeface="+mn-lt"/>
              <a:ea typeface="+mn-ea"/>
              <a:cs typeface="+mn-cs"/>
            </a:rPr>
            <a:t>und endet am</a:t>
          </a:r>
          <a:r>
            <a:rPr lang="de-DE" sz="1100" b="1">
              <a:solidFill>
                <a:schemeClr val="dk1"/>
              </a:solidFill>
              <a:effectLst/>
              <a:latin typeface="+mn-lt"/>
              <a:ea typeface="+mn-ea"/>
              <a:cs typeface="+mn-cs"/>
            </a:rPr>
            <a:t> 31.08.2026</a:t>
          </a:r>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 </a:t>
          </a:r>
          <a:endParaRPr lang="de-DE" sz="1100">
            <a:solidFill>
              <a:schemeClr val="dk1"/>
            </a:solidFill>
            <a:effectLst/>
            <a:latin typeface="+mn-lt"/>
            <a:ea typeface="+mn-ea"/>
            <a:cs typeface="+mn-cs"/>
          </a:endParaRPr>
        </a:p>
        <a:p>
          <a:r>
            <a:rPr lang="de-DE" sz="1100">
              <a:solidFill>
                <a:schemeClr val="dk1"/>
              </a:solidFill>
              <a:effectLst/>
              <a:latin typeface="+mn-lt"/>
              <a:ea typeface="+mn-ea"/>
              <a:cs typeface="+mn-cs"/>
            </a:rPr>
            <a:t>Die Akademie Kraatz GmbH verpflichtet sich entsprechend ausreichende Termine im Rahmen der Vertragslaufzeit anzubieten, damit alle gebuchten Stunden auch wahrgenommen werden können. Sollte die Akademie Kraatz GmbH ausreichend Termine im Rahmen der Vertragslaufzeit angeboten haben und gleichwohl nicht alle Termine innerhalb der Vertragslaufzeit abgehalten worden sein, aus Gründen, die in die Sphäre des Teilnehmers fallen, so verfallen die Termine ersatzlos und das vereinbarte Honorar ist für die verfallenen Stunden gleichwohl zu entrichten. Der Vertrag kann jedoch durch Vereinbarung verlängert werden. Eine Verlängerung ist jedoch nur wirksam, wenn eine schriftliche Vereinbarung getroffen wurde.</a:t>
          </a:r>
        </a:p>
        <a:p>
          <a:pPr marL="0" marR="0" lvl="0" indent="0" defTabSz="914400" eaLnBrk="1" fontAlgn="auto" latinLnBrk="0" hangingPunct="1">
            <a:lnSpc>
              <a:spcPct val="100000"/>
            </a:lnSpc>
            <a:spcBef>
              <a:spcPts val="0"/>
            </a:spcBef>
            <a:spcAft>
              <a:spcPts val="0"/>
            </a:spcAft>
            <a:buClrTx/>
            <a:buSzTx/>
            <a:buFontTx/>
            <a:buNone/>
            <a:tabLst/>
            <a:defRPr/>
          </a:pPr>
          <a:endParaRPr lang="de-DE" sz="1400" b="1" i="0" u="none" strike="noStrike" baseline="0">
            <a:solidFill>
              <a:schemeClr val="dk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434340</xdr:colOff>
      <xdr:row>0</xdr:row>
      <xdr:rowOff>106680</xdr:rowOff>
    </xdr:from>
    <xdr:to>
      <xdr:col>3</xdr:col>
      <xdr:colOff>1607820</xdr:colOff>
      <xdr:row>3</xdr:row>
      <xdr:rowOff>30480</xdr:rowOff>
    </xdr:to>
    <xdr:pic>
      <xdr:nvPicPr>
        <xdr:cNvPr id="12413" name="Grafik 6">
          <a:extLst>
            <a:ext uri="{FF2B5EF4-FFF2-40B4-BE49-F238E27FC236}">
              <a16:creationId xmlns:a16="http://schemas.microsoft.com/office/drawing/2014/main" id="{4A762882-4B49-71A7-2C0D-48F8D0F5EB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61760" y="106680"/>
          <a:ext cx="2552700" cy="67056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mc:AlternateContent xmlns:mc="http://schemas.openxmlformats.org/markup-compatibility/2006">
    <mc:Choice xmlns:a14="http://schemas.microsoft.com/office/drawing/2010/main" Requires="a14">
      <xdr:twoCellAnchor editAs="oneCell">
        <xdr:from>
          <xdr:col>4</xdr:col>
          <xdr:colOff>2171700</xdr:colOff>
          <xdr:row>4</xdr:row>
          <xdr:rowOff>152400</xdr:rowOff>
        </xdr:from>
        <xdr:to>
          <xdr:col>4</xdr:col>
          <xdr:colOff>2794000</xdr:colOff>
          <xdr:row>4</xdr:row>
          <xdr:rowOff>406400</xdr:rowOff>
        </xdr:to>
        <xdr:sp macro="" textlink="">
          <xdr:nvSpPr>
            <xdr:cNvPr id="12369" name="Check Box 81" hidden="1">
              <a:extLst>
                <a:ext uri="{63B3BB69-23CF-44E3-9099-C40C66FF867C}">
                  <a14:compatExt spid="_x0000_s12369"/>
                </a:ext>
                <a:ext uri="{FF2B5EF4-FFF2-40B4-BE49-F238E27FC236}">
                  <a16:creationId xmlns:a16="http://schemas.microsoft.com/office/drawing/2014/main" id="{00000000-0008-0000-0100-000051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de-DE"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3060700</xdr:colOff>
          <xdr:row>4</xdr:row>
          <xdr:rowOff>165100</xdr:rowOff>
        </xdr:from>
        <xdr:to>
          <xdr:col>4</xdr:col>
          <xdr:colOff>3556000</xdr:colOff>
          <xdr:row>4</xdr:row>
          <xdr:rowOff>393700</xdr:rowOff>
        </xdr:to>
        <xdr:sp macro="" textlink="">
          <xdr:nvSpPr>
            <xdr:cNvPr id="12370" name="Check Box 82" hidden="1">
              <a:extLst>
                <a:ext uri="{63B3BB69-23CF-44E3-9099-C40C66FF867C}">
                  <a14:compatExt spid="_x0000_s12370"/>
                </a:ext>
                <a:ext uri="{FF2B5EF4-FFF2-40B4-BE49-F238E27FC236}">
                  <a16:creationId xmlns:a16="http://schemas.microsoft.com/office/drawing/2014/main" id="{00000000-0008-0000-0100-000052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de-DE" sz="800" b="0" i="0" u="none" strike="noStrike" baseline="0">
                  <a:solidFill>
                    <a:srgbClr val="000000"/>
                  </a:solidFill>
                  <a:latin typeface="Segoe UI"/>
                  <a:cs typeface="Segoe UI"/>
                </a:rPr>
                <a:t>nein</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434340</xdr:colOff>
      <xdr:row>0</xdr:row>
      <xdr:rowOff>106680</xdr:rowOff>
    </xdr:from>
    <xdr:to>
      <xdr:col>3</xdr:col>
      <xdr:colOff>1607820</xdr:colOff>
      <xdr:row>3</xdr:row>
      <xdr:rowOff>30480</xdr:rowOff>
    </xdr:to>
    <xdr:pic>
      <xdr:nvPicPr>
        <xdr:cNvPr id="17490" name="Grafik 6">
          <a:extLst>
            <a:ext uri="{FF2B5EF4-FFF2-40B4-BE49-F238E27FC236}">
              <a16:creationId xmlns:a16="http://schemas.microsoft.com/office/drawing/2014/main" id="{731EB43F-06B1-5E0A-2A48-A1339C290E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7420" y="106680"/>
          <a:ext cx="2552700" cy="67056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mc:AlternateContent xmlns:mc="http://schemas.openxmlformats.org/markup-compatibility/2006">
    <mc:Choice xmlns:a14="http://schemas.microsoft.com/office/drawing/2010/main" Requires="a14">
      <xdr:twoCellAnchor editAs="oneCell">
        <xdr:from>
          <xdr:col>4</xdr:col>
          <xdr:colOff>2171700</xdr:colOff>
          <xdr:row>4</xdr:row>
          <xdr:rowOff>152400</xdr:rowOff>
        </xdr:from>
        <xdr:to>
          <xdr:col>4</xdr:col>
          <xdr:colOff>2794000</xdr:colOff>
          <xdr:row>4</xdr:row>
          <xdr:rowOff>406400</xdr:rowOff>
        </xdr:to>
        <xdr:sp macro="" textlink="">
          <xdr:nvSpPr>
            <xdr:cNvPr id="17446" name="Check Box 38" hidden="1">
              <a:extLst>
                <a:ext uri="{63B3BB69-23CF-44E3-9099-C40C66FF867C}">
                  <a14:compatExt spid="_x0000_s17446"/>
                </a:ext>
                <a:ext uri="{FF2B5EF4-FFF2-40B4-BE49-F238E27FC236}">
                  <a16:creationId xmlns:a16="http://schemas.microsoft.com/office/drawing/2014/main" id="{00000000-0008-0000-0200-0000264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de-DE"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3060700</xdr:colOff>
          <xdr:row>4</xdr:row>
          <xdr:rowOff>165100</xdr:rowOff>
        </xdr:from>
        <xdr:to>
          <xdr:col>4</xdr:col>
          <xdr:colOff>3556000</xdr:colOff>
          <xdr:row>4</xdr:row>
          <xdr:rowOff>393700</xdr:rowOff>
        </xdr:to>
        <xdr:sp macro="" textlink="">
          <xdr:nvSpPr>
            <xdr:cNvPr id="17447" name="Check Box 39" hidden="1">
              <a:extLst>
                <a:ext uri="{63B3BB69-23CF-44E3-9099-C40C66FF867C}">
                  <a14:compatExt spid="_x0000_s17447"/>
                </a:ext>
                <a:ext uri="{FF2B5EF4-FFF2-40B4-BE49-F238E27FC236}">
                  <a16:creationId xmlns:a16="http://schemas.microsoft.com/office/drawing/2014/main" id="{00000000-0008-0000-0200-0000274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de-DE" sz="800" b="0" i="0" u="none" strike="noStrike" baseline="0">
                  <a:solidFill>
                    <a:srgbClr val="000000"/>
                  </a:solidFill>
                  <a:latin typeface="Segoe UI"/>
                  <a:cs typeface="Segoe UI"/>
                </a:rPr>
                <a:t>nein</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2</xdr:col>
      <xdr:colOff>434340</xdr:colOff>
      <xdr:row>0</xdr:row>
      <xdr:rowOff>106680</xdr:rowOff>
    </xdr:from>
    <xdr:to>
      <xdr:col>3</xdr:col>
      <xdr:colOff>1607820</xdr:colOff>
      <xdr:row>3</xdr:row>
      <xdr:rowOff>15240</xdr:rowOff>
    </xdr:to>
    <xdr:pic>
      <xdr:nvPicPr>
        <xdr:cNvPr id="18497" name="Grafik 6">
          <a:extLst>
            <a:ext uri="{FF2B5EF4-FFF2-40B4-BE49-F238E27FC236}">
              <a16:creationId xmlns:a16="http://schemas.microsoft.com/office/drawing/2014/main" id="{4B721EED-1E55-3130-5472-A58ED9B93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56020" y="106680"/>
          <a:ext cx="2552700" cy="65532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mc:AlternateContent xmlns:mc="http://schemas.openxmlformats.org/markup-compatibility/2006">
    <mc:Choice xmlns:a14="http://schemas.microsoft.com/office/drawing/2010/main" Requires="a14">
      <xdr:twoCellAnchor editAs="oneCell">
        <xdr:from>
          <xdr:col>4</xdr:col>
          <xdr:colOff>2171700</xdr:colOff>
          <xdr:row>4</xdr:row>
          <xdr:rowOff>152400</xdr:rowOff>
        </xdr:from>
        <xdr:to>
          <xdr:col>4</xdr:col>
          <xdr:colOff>2794000</xdr:colOff>
          <xdr:row>4</xdr:row>
          <xdr:rowOff>406400</xdr:rowOff>
        </xdr:to>
        <xdr:sp macro="" textlink="">
          <xdr:nvSpPr>
            <xdr:cNvPr id="18453" name="Check Box 21" hidden="1">
              <a:extLst>
                <a:ext uri="{63B3BB69-23CF-44E3-9099-C40C66FF867C}">
                  <a14:compatExt spid="_x0000_s18453"/>
                </a:ext>
                <a:ext uri="{FF2B5EF4-FFF2-40B4-BE49-F238E27FC236}">
                  <a16:creationId xmlns:a16="http://schemas.microsoft.com/office/drawing/2014/main" id="{00000000-0008-0000-0300-000015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de-DE"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3060700</xdr:colOff>
          <xdr:row>4</xdr:row>
          <xdr:rowOff>165100</xdr:rowOff>
        </xdr:from>
        <xdr:to>
          <xdr:col>4</xdr:col>
          <xdr:colOff>3556000</xdr:colOff>
          <xdr:row>4</xdr:row>
          <xdr:rowOff>393700</xdr:rowOff>
        </xdr:to>
        <xdr:sp macro="" textlink="">
          <xdr:nvSpPr>
            <xdr:cNvPr id="18454" name="Check Box 22" hidden="1">
              <a:extLst>
                <a:ext uri="{63B3BB69-23CF-44E3-9099-C40C66FF867C}">
                  <a14:compatExt spid="_x0000_s18454"/>
                </a:ext>
                <a:ext uri="{FF2B5EF4-FFF2-40B4-BE49-F238E27FC236}">
                  <a16:creationId xmlns:a16="http://schemas.microsoft.com/office/drawing/2014/main" id="{00000000-0008-0000-0300-000016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de-DE" sz="800" b="0" i="0" u="none" strike="noStrike" baseline="0">
                  <a:solidFill>
                    <a:srgbClr val="000000"/>
                  </a:solidFill>
                  <a:latin typeface="Segoe UI"/>
                  <a:cs typeface="Segoe UI"/>
                </a:rPr>
                <a:t>nein</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106680</xdr:colOff>
      <xdr:row>0</xdr:row>
      <xdr:rowOff>0</xdr:rowOff>
    </xdr:from>
    <xdr:to>
      <xdr:col>1</xdr:col>
      <xdr:colOff>1874520</xdr:colOff>
      <xdr:row>4</xdr:row>
      <xdr:rowOff>22860</xdr:rowOff>
    </xdr:to>
    <xdr:pic>
      <xdr:nvPicPr>
        <xdr:cNvPr id="19509" name="Grafik 6">
          <a:extLst>
            <a:ext uri="{FF2B5EF4-FFF2-40B4-BE49-F238E27FC236}">
              <a16:creationId xmlns:a16="http://schemas.microsoft.com/office/drawing/2014/main" id="{D698F683-5325-289E-59C2-EDA118B28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0"/>
          <a:ext cx="2560320" cy="69342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laurenz.kohler@t-online.d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3.xml"/><Relationship Id="rId4"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3.vml"/><Relationship Id="rId1" Type="http://schemas.openxmlformats.org/officeDocument/2006/relationships/drawing" Target="../drawings/drawing4.xml"/><Relationship Id="rId4" Type="http://schemas.openxmlformats.org/officeDocument/2006/relationships/ctrlProp" Target="../ctrlProps/ctrlProp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97F7-B662-4345-89ED-BE609EB3FCB9}">
  <dimension ref="A1:N61"/>
  <sheetViews>
    <sheetView topLeftCell="A13" workbookViewId="0">
      <selection activeCell="C9" sqref="C9"/>
    </sheetView>
  </sheetViews>
  <sheetFormatPr defaultColWidth="11.42578125" defaultRowHeight="15"/>
  <cols>
    <col min="1" max="1" width="18.7109375" style="1" customWidth="1"/>
    <col min="2" max="2" width="15.7109375" style="1" customWidth="1"/>
    <col min="3" max="3" width="42.7109375" style="1" customWidth="1"/>
    <col min="4" max="4" width="15.7109375" style="1" customWidth="1"/>
    <col min="5" max="5" width="30.7109375" style="1" customWidth="1"/>
    <col min="6" max="6" width="28" style="1" customWidth="1"/>
    <col min="7" max="7" width="8" style="1" customWidth="1"/>
    <col min="8" max="8" width="8.140625" style="1" customWidth="1"/>
    <col min="9" max="16384" width="11.42578125" style="1"/>
  </cols>
  <sheetData>
    <row r="1" spans="1:12" ht="26.1">
      <c r="A1" s="66" t="s">
        <v>0</v>
      </c>
      <c r="B1" s="67"/>
      <c r="C1" s="67"/>
    </row>
    <row r="2" spans="1:12" ht="17.25" customHeight="1">
      <c r="A2" s="2"/>
      <c r="C2" s="77" t="s">
        <v>1</v>
      </c>
    </row>
    <row r="3" spans="1:12" ht="26.1">
      <c r="A3" s="68" t="s">
        <v>2</v>
      </c>
      <c r="B3" s="66"/>
      <c r="C3" s="69">
        <v>140</v>
      </c>
      <c r="D3" s="3"/>
    </row>
    <row r="4" spans="1:12" ht="17.100000000000001">
      <c r="C4" s="76" t="s">
        <v>3</v>
      </c>
      <c r="D4" s="83">
        <v>2663</v>
      </c>
    </row>
    <row r="5" spans="1:12" s="6" customFormat="1" ht="39.75" customHeight="1">
      <c r="A5" s="4" t="s">
        <v>4</v>
      </c>
      <c r="B5" s="5"/>
      <c r="C5" s="70" t="s">
        <v>5</v>
      </c>
      <c r="E5" s="63" t="s">
        <v>6</v>
      </c>
      <c r="F5" s="63" t="s">
        <v>7</v>
      </c>
      <c r="G5" s="64"/>
      <c r="H5" s="64"/>
      <c r="I5" s="65"/>
      <c r="J5" s="65"/>
      <c r="L5" s="7"/>
    </row>
    <row r="6" spans="1:12" ht="26.25" customHeight="1">
      <c r="A6" s="8"/>
      <c r="B6" s="9"/>
      <c r="C6" s="9"/>
      <c r="E6" s="63" t="s">
        <v>8</v>
      </c>
      <c r="F6" s="146" t="s">
        <v>9</v>
      </c>
      <c r="G6" s="147"/>
      <c r="H6" s="147"/>
      <c r="I6" s="147"/>
      <c r="J6" s="147"/>
      <c r="L6" s="11"/>
    </row>
    <row r="7" spans="1:12" s="6" customFormat="1" ht="29.25" customHeight="1" thickBot="1">
      <c r="A7" s="4" t="s">
        <v>10</v>
      </c>
      <c r="B7" s="5"/>
      <c r="C7" s="78" t="s">
        <v>11</v>
      </c>
      <c r="E7" s="63" t="s">
        <v>12</v>
      </c>
      <c r="F7" s="63" t="s">
        <v>13</v>
      </c>
      <c r="G7" s="65"/>
      <c r="H7" s="65"/>
      <c r="I7" s="65"/>
      <c r="J7" s="65"/>
      <c r="L7" s="11"/>
    </row>
    <row r="8" spans="1:12" ht="39.75" customHeight="1" thickBot="1">
      <c r="A8" s="8"/>
      <c r="B8" s="9"/>
      <c r="C8" s="75"/>
      <c r="D8" s="10"/>
      <c r="E8" s="132" t="s">
        <v>14</v>
      </c>
      <c r="F8" s="136">
        <v>46266</v>
      </c>
      <c r="L8" s="11"/>
    </row>
    <row r="9" spans="1:12" s="6" customFormat="1" ht="22.5" customHeight="1">
      <c r="A9" s="12" t="s">
        <v>15</v>
      </c>
      <c r="C9" s="137" t="s">
        <v>16</v>
      </c>
      <c r="E9" s="132" t="s">
        <v>17</v>
      </c>
      <c r="F9" s="133" t="s">
        <v>18</v>
      </c>
      <c r="G9" s="65"/>
      <c r="H9" s="65"/>
      <c r="L9" s="11"/>
    </row>
    <row r="10" spans="1:12" ht="18" customHeight="1" thickBot="1">
      <c r="A10" s="13"/>
      <c r="F10" s="49"/>
      <c r="L10" s="14"/>
    </row>
    <row r="11" spans="1:12" s="6" customFormat="1" ht="21.95" thickBot="1">
      <c r="A11" s="140" t="s">
        <v>19</v>
      </c>
      <c r="B11" s="141"/>
      <c r="C11" s="141"/>
      <c r="D11" s="141"/>
      <c r="E11" s="141"/>
      <c r="F11" s="142"/>
      <c r="G11" s="65"/>
      <c r="H11" s="65"/>
      <c r="L11" s="14"/>
    </row>
    <row r="12" spans="1:12" ht="17.100000000000001" thickBot="1">
      <c r="A12" s="15"/>
      <c r="B12" s="15"/>
      <c r="C12" s="15"/>
      <c r="D12" s="15"/>
      <c r="E12" s="15"/>
      <c r="F12" s="15"/>
      <c r="G12" s="16"/>
      <c r="H12" s="16"/>
      <c r="L12" s="14"/>
    </row>
    <row r="13" spans="1:12" ht="307.5" customHeight="1" thickBot="1">
      <c r="A13" s="143" t="s">
        <v>20</v>
      </c>
      <c r="B13" s="144"/>
      <c r="C13" s="144"/>
      <c r="D13" s="144"/>
      <c r="E13" s="144"/>
      <c r="F13" s="145"/>
      <c r="G13" s="58"/>
      <c r="H13" s="58"/>
      <c r="J13" s="59"/>
      <c r="L13" s="60"/>
    </row>
    <row r="14" spans="1:12" ht="15.95">
      <c r="H14" s="62"/>
      <c r="L14" s="17"/>
    </row>
    <row r="15" spans="1:12" ht="18">
      <c r="A15" s="54" t="s">
        <v>21</v>
      </c>
      <c r="B15" s="18"/>
      <c r="C15" s="18"/>
      <c r="D15" s="18"/>
      <c r="E15" s="18"/>
      <c r="F15" s="18"/>
      <c r="G15" s="18"/>
      <c r="H15" s="62"/>
    </row>
    <row r="16" spans="1:12" ht="15.95">
      <c r="A16" s="118" t="s">
        <v>22</v>
      </c>
      <c r="B16" s="119"/>
      <c r="C16" s="120"/>
      <c r="D16" s="121"/>
      <c r="E16" s="122" t="s">
        <v>23</v>
      </c>
    </row>
    <row r="17" spans="1:14" ht="15.95">
      <c r="A17" s="118" t="s">
        <v>24</v>
      </c>
      <c r="B17" s="119"/>
      <c r="C17" s="120"/>
      <c r="D17" s="121"/>
      <c r="E17" s="124" t="s">
        <v>25</v>
      </c>
    </row>
    <row r="18" spans="1:14" ht="15.95">
      <c r="A18" s="118" t="s">
        <v>26</v>
      </c>
      <c r="B18" s="119"/>
      <c r="C18" s="120"/>
      <c r="D18" s="121"/>
      <c r="E18" s="123" t="s">
        <v>27</v>
      </c>
    </row>
    <row r="19" spans="1:14" ht="15" customHeight="1" thickBot="1">
      <c r="A19" s="30"/>
      <c r="B19" s="18"/>
      <c r="C19" s="18"/>
      <c r="D19" s="18"/>
      <c r="E19" s="50"/>
      <c r="F19" s="18"/>
      <c r="G19" s="19"/>
      <c r="H19" s="48"/>
    </row>
    <row r="20" spans="1:14" s="52" customFormat="1" ht="273.75" customHeight="1" thickBot="1">
      <c r="A20" s="148" t="s">
        <v>28</v>
      </c>
      <c r="B20" s="149"/>
      <c r="C20" s="149"/>
      <c r="D20" s="149"/>
      <c r="E20" s="149"/>
      <c r="F20" s="150"/>
      <c r="H20" s="53"/>
    </row>
    <row r="21" spans="1:14" ht="15.95">
      <c r="A21" s="61"/>
      <c r="B21" s="61"/>
      <c r="C21" s="61"/>
      <c r="D21" s="61"/>
      <c r="E21" s="61"/>
      <c r="F21" s="61"/>
      <c r="H21" s="48"/>
    </row>
    <row r="22" spans="1:14" ht="15.95">
      <c r="A22" s="61"/>
      <c r="B22" s="61"/>
      <c r="C22" s="61"/>
      <c r="D22" s="61"/>
      <c r="E22" s="61"/>
      <c r="F22" s="61"/>
      <c r="H22" s="48"/>
    </row>
    <row r="23" spans="1:14" ht="15.95">
      <c r="A23" s="61"/>
      <c r="B23" s="61"/>
      <c r="C23" s="61"/>
      <c r="D23" s="61"/>
      <c r="E23" s="61"/>
      <c r="F23" s="61"/>
      <c r="H23" s="48"/>
    </row>
    <row r="24" spans="1:14" ht="15.95">
      <c r="A24" s="61"/>
      <c r="B24" s="61"/>
      <c r="C24" s="61"/>
      <c r="D24" s="61"/>
      <c r="E24" s="61"/>
      <c r="F24" s="61"/>
      <c r="H24" s="48"/>
      <c r="I24" s="55"/>
      <c r="J24"/>
      <c r="K24"/>
      <c r="L24"/>
      <c r="M24" s="56"/>
      <c r="N24" s="57"/>
    </row>
    <row r="25" spans="1:14" ht="15.95">
      <c r="A25" s="61"/>
      <c r="B25" s="61"/>
      <c r="C25" s="61"/>
      <c r="D25" s="61"/>
      <c r="E25" s="61"/>
      <c r="F25" s="61"/>
      <c r="H25" s="48"/>
    </row>
    <row r="26" spans="1:14">
      <c r="A26" s="61"/>
      <c r="B26" s="61"/>
      <c r="C26" s="61"/>
      <c r="D26" s="61"/>
      <c r="E26" s="61"/>
      <c r="F26" s="61"/>
    </row>
    <row r="27" spans="1:14">
      <c r="A27" s="61"/>
      <c r="B27" s="61"/>
      <c r="C27" s="61"/>
      <c r="D27" s="61"/>
      <c r="E27" s="61"/>
      <c r="F27" s="61"/>
    </row>
    <row r="28" spans="1:14">
      <c r="A28" s="61"/>
      <c r="B28" s="61"/>
      <c r="C28" s="61"/>
      <c r="D28" s="61"/>
      <c r="E28" s="61"/>
      <c r="F28" s="61"/>
    </row>
    <row r="29" spans="1:14">
      <c r="A29" s="61"/>
      <c r="B29" s="61"/>
      <c r="C29" s="61"/>
      <c r="D29" s="61"/>
      <c r="E29" s="61"/>
      <c r="F29" s="61"/>
    </row>
    <row r="30" spans="1:14">
      <c r="A30" s="61"/>
      <c r="B30" s="61"/>
      <c r="C30" s="61"/>
      <c r="D30" s="61"/>
      <c r="E30" s="61"/>
      <c r="F30" s="61"/>
    </row>
    <row r="31" spans="1:14">
      <c r="A31" s="61"/>
      <c r="B31" s="61"/>
      <c r="C31" s="61"/>
      <c r="D31" s="61"/>
      <c r="E31" s="61"/>
      <c r="F31" s="61"/>
    </row>
    <row r="32" spans="1:14">
      <c r="A32" s="61"/>
      <c r="B32" s="61"/>
      <c r="C32" s="61"/>
      <c r="D32" s="61"/>
      <c r="E32" s="61"/>
      <c r="F32" s="61"/>
    </row>
    <row r="33" spans="1:6">
      <c r="A33" s="61"/>
      <c r="B33" s="61"/>
      <c r="C33" s="61"/>
      <c r="D33" s="61"/>
      <c r="E33" s="61"/>
      <c r="F33" s="61"/>
    </row>
    <row r="34" spans="1:6">
      <c r="A34" s="61"/>
      <c r="B34" s="61"/>
      <c r="C34" s="61"/>
      <c r="D34" s="61"/>
      <c r="E34" s="61"/>
      <c r="F34" s="61"/>
    </row>
    <row r="35" spans="1:6">
      <c r="A35" s="61"/>
      <c r="B35" s="61"/>
      <c r="C35" s="61"/>
      <c r="D35" s="61"/>
      <c r="E35" s="61"/>
      <c r="F35" s="61"/>
    </row>
    <row r="36" spans="1:6" ht="17.25" customHeight="1">
      <c r="A36" s="51"/>
      <c r="B36" s="51"/>
      <c r="C36" s="51"/>
      <c r="D36" s="51"/>
      <c r="E36" s="51"/>
      <c r="F36" s="51"/>
    </row>
    <row r="37" spans="1:6" ht="17.25" customHeight="1">
      <c r="A37" s="51"/>
      <c r="B37" s="51"/>
      <c r="C37" s="51"/>
      <c r="D37" s="51"/>
      <c r="E37" s="51"/>
      <c r="F37" s="51"/>
    </row>
    <row r="38" spans="1:6" ht="17.25" customHeight="1">
      <c r="A38" s="51"/>
      <c r="B38" s="51"/>
      <c r="C38" s="51"/>
      <c r="D38" s="51"/>
      <c r="E38" s="51"/>
      <c r="F38" s="51"/>
    </row>
    <row r="39" spans="1:6" ht="17.25" customHeight="1">
      <c r="A39" s="51"/>
      <c r="B39" s="51"/>
      <c r="C39" s="51"/>
      <c r="D39" s="51"/>
      <c r="E39" s="51"/>
      <c r="F39" s="51"/>
    </row>
    <row r="40" spans="1:6" ht="17.25" customHeight="1">
      <c r="A40" s="51"/>
      <c r="B40" s="51"/>
      <c r="C40" s="51"/>
      <c r="D40" s="51"/>
      <c r="E40" s="51"/>
      <c r="F40" s="51"/>
    </row>
    <row r="41" spans="1:6" ht="17.25" customHeight="1">
      <c r="A41" s="51"/>
      <c r="B41" s="51"/>
      <c r="C41" s="51"/>
      <c r="D41" s="51"/>
      <c r="E41" s="51"/>
      <c r="F41" s="51"/>
    </row>
    <row r="42" spans="1:6" ht="17.25" customHeight="1">
      <c r="A42" s="51"/>
      <c r="B42" s="51"/>
      <c r="C42" s="51"/>
      <c r="D42" s="51"/>
      <c r="E42" s="51"/>
      <c r="F42" s="51"/>
    </row>
    <row r="43" spans="1:6" ht="17.25" customHeight="1">
      <c r="A43" s="51"/>
      <c r="B43" s="51"/>
      <c r="C43" s="51"/>
      <c r="D43" s="51"/>
      <c r="E43" s="51"/>
      <c r="F43" s="51"/>
    </row>
    <row r="44" spans="1:6" ht="17.25" customHeight="1">
      <c r="A44" s="51"/>
      <c r="B44" s="51"/>
      <c r="C44" s="51"/>
      <c r="D44" s="51"/>
      <c r="E44" s="51"/>
      <c r="F44" s="51"/>
    </row>
    <row r="45" spans="1:6" ht="17.25" customHeight="1">
      <c r="A45" s="51"/>
      <c r="B45" s="51"/>
      <c r="C45" s="51"/>
      <c r="D45" s="51"/>
      <c r="E45" s="51"/>
      <c r="F45" s="51"/>
    </row>
    <row r="46" spans="1:6" ht="17.25" customHeight="1">
      <c r="A46" s="51"/>
      <c r="B46" s="51"/>
      <c r="C46" s="51"/>
      <c r="D46" s="51"/>
      <c r="E46" s="51"/>
      <c r="F46" s="51"/>
    </row>
    <row r="47" spans="1:6" ht="17.25" customHeight="1">
      <c r="A47" s="51"/>
      <c r="B47" s="51"/>
      <c r="C47" s="51"/>
      <c r="D47" s="51"/>
      <c r="E47" s="51"/>
      <c r="F47" s="51"/>
    </row>
    <row r="48" spans="1:6" ht="17.25" customHeight="1">
      <c r="A48" s="51"/>
      <c r="B48" s="51"/>
      <c r="C48" s="51"/>
      <c r="D48" s="51"/>
      <c r="E48" s="51"/>
      <c r="F48" s="51"/>
    </row>
    <row r="49" spans="1:6" ht="17.25" customHeight="1">
      <c r="A49" s="51"/>
      <c r="B49" s="51"/>
      <c r="C49" s="51"/>
      <c r="D49" s="51"/>
      <c r="E49" s="51"/>
      <c r="F49" s="51"/>
    </row>
    <row r="50" spans="1:6" ht="17.25" customHeight="1">
      <c r="A50" s="51"/>
      <c r="B50" s="51"/>
      <c r="C50" s="51"/>
      <c r="D50" s="51"/>
      <c r="E50" s="51"/>
      <c r="F50" s="51"/>
    </row>
    <row r="51" spans="1:6" ht="17.25" customHeight="1">
      <c r="A51" s="51"/>
      <c r="B51" s="51"/>
      <c r="C51" s="51"/>
      <c r="D51" s="51"/>
      <c r="E51" s="51"/>
      <c r="F51" s="51"/>
    </row>
    <row r="52" spans="1:6" ht="17.25" customHeight="1">
      <c r="A52" s="51"/>
      <c r="B52" s="51"/>
      <c r="C52" s="51"/>
      <c r="D52" s="51"/>
      <c r="E52" s="51"/>
      <c r="F52" s="51"/>
    </row>
    <row r="53" spans="1:6" ht="17.25" customHeight="1">
      <c r="A53" s="51"/>
      <c r="B53" s="51"/>
      <c r="C53" s="51"/>
      <c r="D53" s="51"/>
      <c r="E53" s="51"/>
      <c r="F53" s="51"/>
    </row>
    <row r="54" spans="1:6" ht="17.25" customHeight="1">
      <c r="A54" s="51"/>
      <c r="B54" s="51"/>
      <c r="C54" s="51"/>
      <c r="D54" s="51"/>
      <c r="E54" s="51"/>
      <c r="F54" s="51"/>
    </row>
    <row r="55" spans="1:6" ht="17.25" customHeight="1">
      <c r="A55" s="51"/>
      <c r="B55" s="51"/>
      <c r="C55" s="51"/>
      <c r="D55" s="51"/>
      <c r="E55" s="51"/>
      <c r="F55" s="51"/>
    </row>
    <row r="56" spans="1:6" ht="17.25" customHeight="1">
      <c r="A56" s="51"/>
      <c r="B56" s="51"/>
      <c r="C56" s="51"/>
      <c r="D56" s="51"/>
      <c r="E56" s="51"/>
      <c r="F56" s="51"/>
    </row>
    <row r="57" spans="1:6" ht="17.25" customHeight="1">
      <c r="A57" s="51"/>
      <c r="B57" s="51"/>
      <c r="C57" s="51"/>
      <c r="D57" s="51"/>
      <c r="E57" s="51"/>
      <c r="F57" s="51"/>
    </row>
    <row r="58" spans="1:6" ht="17.25" customHeight="1">
      <c r="A58" s="51"/>
      <c r="B58" s="51"/>
      <c r="C58" s="51"/>
      <c r="D58" s="51"/>
      <c r="E58" s="51"/>
      <c r="F58" s="51"/>
    </row>
    <row r="59" spans="1:6" ht="17.25" customHeight="1">
      <c r="A59" s="51"/>
      <c r="B59" s="51"/>
      <c r="C59" s="51"/>
      <c r="D59" s="51"/>
      <c r="E59" s="51"/>
      <c r="F59" s="51"/>
    </row>
    <row r="60" spans="1:6" ht="17.25" customHeight="1">
      <c r="A60" s="51"/>
      <c r="B60" s="51"/>
      <c r="C60" s="51"/>
      <c r="D60" s="51"/>
      <c r="E60" s="51"/>
      <c r="F60" s="51"/>
    </row>
    <row r="61" spans="1:6" ht="17.25" customHeight="1">
      <c r="A61" s="51"/>
      <c r="B61" s="51"/>
      <c r="C61" s="51"/>
      <c r="D61" s="51"/>
      <c r="E61" s="51"/>
      <c r="F61" s="51"/>
    </row>
  </sheetData>
  <sheetProtection selectLockedCells="1" selectUnlockedCells="1"/>
  <mergeCells count="4">
    <mergeCell ref="A11:F11"/>
    <mergeCell ref="A13:F13"/>
    <mergeCell ref="F6:J6"/>
    <mergeCell ref="A20:F20"/>
  </mergeCells>
  <hyperlinks>
    <hyperlink ref="C9" r:id="rId1" xr:uid="{F91D218D-8B23-4883-B7EA-50672F471369}"/>
  </hyperlinks>
  <pageMargins left="0" right="0" top="0.78749999999999998" bottom="0.78749999999999998" header="0.51180555555555551" footer="0.51180555555555551"/>
  <pageSetup paperSize="9" firstPageNumber="0" orientation="landscape" horizontalDpi="300" verticalDpi="300" r:id="rId2"/>
  <headerFooter alignWithMargins="0"/>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C6811-0CEB-425F-BD73-5A47FCB147C1}">
  <sheetPr>
    <tabColor theme="7" tint="0.59999389629810485"/>
  </sheetPr>
  <dimension ref="A1:F69"/>
  <sheetViews>
    <sheetView workbookViewId="0">
      <pane ySplit="5" topLeftCell="A16" activePane="bottomLeft" state="frozen"/>
      <selection pane="bottomLeft" activeCell="A20" sqref="A20"/>
      <selection activeCell="E56" sqref="E56"/>
    </sheetView>
  </sheetViews>
  <sheetFormatPr defaultColWidth="11.42578125" defaultRowHeight="15"/>
  <cols>
    <col min="1" max="1" width="26.42578125" style="20" customWidth="1"/>
    <col min="2" max="2" width="61.28515625" style="21" customWidth="1"/>
    <col min="3" max="3" width="20.140625" style="22" customWidth="1"/>
    <col min="4" max="4" width="27.42578125" style="22" customWidth="1"/>
    <col min="5" max="5" width="53.7109375" style="1" customWidth="1"/>
    <col min="6" max="6" width="15.28515625" style="1" customWidth="1"/>
    <col min="7" max="16384" width="11.42578125" style="1"/>
  </cols>
  <sheetData>
    <row r="1" spans="1:6" ht="21" thickBot="1">
      <c r="A1" s="79" t="s">
        <v>23</v>
      </c>
      <c r="B1" s="127" t="s">
        <v>29</v>
      </c>
    </row>
    <row r="2" spans="1:6" ht="18.95">
      <c r="B2" s="71"/>
    </row>
    <row r="3" spans="1:6" ht="20.100000000000001" thickBot="1">
      <c r="A3" s="23" t="s">
        <v>30</v>
      </c>
      <c r="B3" s="24">
        <v>55</v>
      </c>
      <c r="C3" s="25"/>
    </row>
    <row r="4" spans="1:6" ht="21" thickBot="1">
      <c r="A4" s="13"/>
      <c r="B4" s="127" t="s">
        <v>31</v>
      </c>
    </row>
    <row r="5" spans="1:6" ht="42" customHeight="1" thickBot="1">
      <c r="A5" s="80" t="s">
        <v>32</v>
      </c>
      <c r="B5" s="81" t="s">
        <v>33</v>
      </c>
      <c r="C5" s="81" t="s">
        <v>34</v>
      </c>
      <c r="D5" s="82" t="s">
        <v>35</v>
      </c>
      <c r="E5" s="131" t="s">
        <v>36</v>
      </c>
      <c r="F5" s="16"/>
    </row>
    <row r="6" spans="1:6" s="30" customFormat="1" ht="30" customHeight="1">
      <c r="A6" s="26">
        <v>45979</v>
      </c>
      <c r="B6" s="27" t="s">
        <v>37</v>
      </c>
      <c r="C6" s="28">
        <v>1.5</v>
      </c>
      <c r="D6" s="29">
        <f>B3-C6</f>
        <v>53.5</v>
      </c>
    </row>
    <row r="7" spans="1:6" s="30" customFormat="1" ht="30" customHeight="1">
      <c r="A7" s="31">
        <v>45987</v>
      </c>
      <c r="B7" s="32" t="s">
        <v>38</v>
      </c>
      <c r="C7" s="33">
        <v>1.5</v>
      </c>
      <c r="D7" s="34">
        <f>D6-C7</f>
        <v>52</v>
      </c>
    </row>
    <row r="8" spans="1:6" s="30" customFormat="1" ht="30" customHeight="1">
      <c r="A8" s="31">
        <v>45994</v>
      </c>
      <c r="B8" s="32" t="s">
        <v>39</v>
      </c>
      <c r="C8" s="33">
        <v>1.5</v>
      </c>
      <c r="D8" s="34">
        <f>D7-C8</f>
        <v>50.5</v>
      </c>
    </row>
    <row r="9" spans="1:6" s="30" customFormat="1" ht="30" customHeight="1">
      <c r="A9" s="31">
        <v>46001</v>
      </c>
      <c r="B9" s="32" t="s">
        <v>40</v>
      </c>
      <c r="C9" s="33">
        <v>1.5</v>
      </c>
      <c r="D9" s="34">
        <f t="shared" ref="D9:D19" si="0">D8-C9</f>
        <v>49</v>
      </c>
    </row>
    <row r="10" spans="1:6" s="30" customFormat="1" ht="30" customHeight="1">
      <c r="A10" s="31">
        <v>46014</v>
      </c>
      <c r="B10" s="32" t="s">
        <v>41</v>
      </c>
      <c r="C10" s="33">
        <v>1.5</v>
      </c>
      <c r="D10" s="34">
        <f t="shared" si="0"/>
        <v>47.5</v>
      </c>
    </row>
    <row r="11" spans="1:6" s="30" customFormat="1" ht="30" customHeight="1">
      <c r="A11" s="31">
        <v>46029</v>
      </c>
      <c r="B11" s="32" t="s">
        <v>42</v>
      </c>
      <c r="C11" s="33">
        <v>1</v>
      </c>
      <c r="D11" s="34">
        <f t="shared" si="0"/>
        <v>46.5</v>
      </c>
    </row>
    <row r="12" spans="1:6" s="30" customFormat="1" ht="30" customHeight="1">
      <c r="A12" s="31">
        <v>46036</v>
      </c>
      <c r="B12" s="32" t="s">
        <v>43</v>
      </c>
      <c r="C12" s="33">
        <v>1.5</v>
      </c>
      <c r="D12" s="34">
        <f t="shared" si="0"/>
        <v>45</v>
      </c>
    </row>
    <row r="13" spans="1:6" s="30" customFormat="1" ht="30" customHeight="1" thickBot="1">
      <c r="A13" s="31">
        <v>46043</v>
      </c>
      <c r="B13" s="32" t="s">
        <v>44</v>
      </c>
      <c r="C13" s="33">
        <v>1.5</v>
      </c>
      <c r="D13" s="34">
        <f t="shared" si="0"/>
        <v>43.5</v>
      </c>
    </row>
    <row r="14" spans="1:6" s="30" customFormat="1" ht="30" customHeight="1" thickBot="1">
      <c r="A14" s="31">
        <v>46057</v>
      </c>
      <c r="B14" s="32" t="s">
        <v>45</v>
      </c>
      <c r="C14" s="33">
        <v>1.5</v>
      </c>
      <c r="D14" s="34">
        <f t="shared" si="0"/>
        <v>42</v>
      </c>
      <c r="E14" s="127" t="s">
        <v>31</v>
      </c>
    </row>
    <row r="15" spans="1:6" s="30" customFormat="1" ht="30" customHeight="1">
      <c r="A15" s="31">
        <v>46064</v>
      </c>
      <c r="B15" s="32" t="s">
        <v>46</v>
      </c>
      <c r="C15" s="33">
        <v>1.5</v>
      </c>
      <c r="D15" s="34">
        <f t="shared" si="0"/>
        <v>40.5</v>
      </c>
    </row>
    <row r="16" spans="1:6" s="30" customFormat="1" ht="30" customHeight="1">
      <c r="A16" s="31">
        <v>46071</v>
      </c>
      <c r="B16" s="32" t="s">
        <v>47</v>
      </c>
      <c r="C16" s="33">
        <v>1.5</v>
      </c>
      <c r="D16" s="34">
        <f t="shared" si="0"/>
        <v>39</v>
      </c>
    </row>
    <row r="17" spans="1:6" s="30" customFormat="1" ht="30" customHeight="1">
      <c r="A17" s="31">
        <v>46078</v>
      </c>
      <c r="B17" s="32" t="s">
        <v>48</v>
      </c>
      <c r="C17" s="33">
        <v>1.5</v>
      </c>
      <c r="D17" s="34">
        <f t="shared" si="0"/>
        <v>37.5</v>
      </c>
      <c r="E17" s="30" t="s">
        <v>49</v>
      </c>
    </row>
    <row r="18" spans="1:6" s="30" customFormat="1" ht="30" customHeight="1">
      <c r="A18" s="31">
        <v>46085</v>
      </c>
      <c r="B18" s="32" t="s">
        <v>50</v>
      </c>
      <c r="C18" s="33">
        <v>1.5</v>
      </c>
      <c r="D18" s="34">
        <f t="shared" si="0"/>
        <v>36</v>
      </c>
    </row>
    <row r="19" spans="1:6" s="30" customFormat="1" ht="30" customHeight="1">
      <c r="A19" s="31">
        <v>46092</v>
      </c>
      <c r="B19" s="32" t="s">
        <v>51</v>
      </c>
      <c r="C19" s="33">
        <v>1.5</v>
      </c>
      <c r="D19" s="34">
        <f t="shared" si="0"/>
        <v>34.5</v>
      </c>
    </row>
    <row r="20" spans="1:6" s="35" customFormat="1" ht="30" customHeight="1">
      <c r="A20" s="31">
        <v>46099</v>
      </c>
      <c r="B20" s="32" t="s">
        <v>52</v>
      </c>
      <c r="C20" s="33">
        <v>1.5</v>
      </c>
      <c r="D20" s="34">
        <f>D19-C20</f>
        <v>33</v>
      </c>
    </row>
    <row r="21" spans="1:6" s="30" customFormat="1" ht="32.25" customHeight="1">
      <c r="A21" s="31"/>
      <c r="B21" s="32"/>
      <c r="C21" s="33"/>
      <c r="D21" s="34">
        <f>D20-C21</f>
        <v>33</v>
      </c>
      <c r="E21" s="36"/>
      <c r="F21" s="37"/>
    </row>
    <row r="22" spans="1:6" s="30" customFormat="1" ht="15" customHeight="1" thickBot="1">
      <c r="A22" s="106" t="s">
        <v>53</v>
      </c>
      <c r="B22" s="95"/>
      <c r="C22" s="103"/>
      <c r="D22" s="104"/>
      <c r="E22" s="36"/>
      <c r="F22" s="37"/>
    </row>
    <row r="23" spans="1:6" s="30" customFormat="1" ht="35.25" customHeight="1" thickBot="1">
      <c r="A23" s="105" t="s">
        <v>54</v>
      </c>
      <c r="B23" s="89" t="s">
        <v>55</v>
      </c>
      <c r="C23" s="151" t="s">
        <v>56</v>
      </c>
      <c r="D23" s="152"/>
      <c r="E23" s="36"/>
      <c r="F23" s="37"/>
    </row>
    <row r="24" spans="1:6" s="30" customFormat="1" ht="19.5" customHeight="1">
      <c r="A24" s="128"/>
      <c r="B24" s="99" t="s">
        <v>57</v>
      </c>
      <c r="C24" s="153"/>
      <c r="D24" s="154"/>
    </row>
    <row r="25" spans="1:6" s="30" customFormat="1" ht="19.5" customHeight="1">
      <c r="A25" s="129"/>
      <c r="B25" s="100" t="s">
        <v>58</v>
      </c>
      <c r="C25" s="155"/>
      <c r="D25" s="156"/>
      <c r="E25" s="38"/>
      <c r="F25" s="37"/>
    </row>
    <row r="26" spans="1:6" s="30" customFormat="1" ht="19.5" customHeight="1">
      <c r="A26" s="129"/>
      <c r="B26" s="100" t="s">
        <v>59</v>
      </c>
      <c r="C26" s="155"/>
      <c r="D26" s="156"/>
    </row>
    <row r="27" spans="1:6" s="30" customFormat="1" ht="19.5" customHeight="1">
      <c r="A27" s="128"/>
      <c r="B27" s="99" t="s">
        <v>60</v>
      </c>
      <c r="C27" s="155"/>
      <c r="D27" s="156"/>
      <c r="E27" s="36"/>
      <c r="F27" s="37"/>
    </row>
    <row r="28" spans="1:6" s="30" customFormat="1" ht="19.5" customHeight="1" thickBot="1">
      <c r="A28" s="130"/>
      <c r="B28" s="101" t="s">
        <v>61</v>
      </c>
      <c r="C28" s="157"/>
      <c r="D28" s="158"/>
      <c r="E28" s="36"/>
      <c r="F28" s="37"/>
    </row>
    <row r="29" spans="1:6" s="30" customFormat="1" ht="15" customHeight="1">
      <c r="A29" s="96"/>
      <c r="B29" s="97"/>
      <c r="C29" s="98"/>
      <c r="D29" s="102"/>
      <c r="E29" s="36"/>
      <c r="F29" s="37"/>
    </row>
    <row r="30" spans="1:6" s="30" customFormat="1" ht="23.25" customHeight="1">
      <c r="A30" s="31"/>
      <c r="B30" s="94"/>
      <c r="C30" s="135"/>
      <c r="D30" s="34">
        <f>+D21-C30</f>
        <v>33</v>
      </c>
      <c r="E30" s="36"/>
      <c r="F30" s="37"/>
    </row>
    <row r="31" spans="1:6" s="30" customFormat="1" ht="27" customHeight="1">
      <c r="A31" s="31"/>
      <c r="B31" s="94"/>
      <c r="C31" s="135"/>
      <c r="D31" s="34">
        <f>D30-C31</f>
        <v>33</v>
      </c>
      <c r="E31" s="36"/>
    </row>
    <row r="32" spans="1:6" s="30" customFormat="1" ht="30" customHeight="1">
      <c r="A32" s="31"/>
      <c r="B32" s="94"/>
      <c r="C32" s="135"/>
      <c r="D32" s="90">
        <f>D31-C32</f>
        <v>33</v>
      </c>
    </row>
    <row r="33" spans="1:6" s="30" customFormat="1" ht="30" customHeight="1">
      <c r="A33" s="91"/>
      <c r="B33" s="92"/>
      <c r="C33" s="33"/>
      <c r="D33" s="93">
        <f>D32-C33</f>
        <v>33</v>
      </c>
    </row>
    <row r="34" spans="1:6" s="30" customFormat="1" ht="30" customHeight="1">
      <c r="A34" s="31"/>
      <c r="B34" s="32"/>
      <c r="C34" s="33"/>
      <c r="D34" s="34">
        <f>D33-C34</f>
        <v>33</v>
      </c>
    </row>
    <row r="35" spans="1:6" s="30" customFormat="1" ht="30" customHeight="1">
      <c r="A35" s="31"/>
      <c r="B35" s="32"/>
      <c r="C35" s="33"/>
      <c r="D35" s="34">
        <f t="shared" ref="D35:D48" si="1">D34-C35</f>
        <v>33</v>
      </c>
    </row>
    <row r="36" spans="1:6" s="30" customFormat="1" ht="30" customHeight="1">
      <c r="A36" s="31"/>
      <c r="B36" s="32"/>
      <c r="C36" s="33"/>
      <c r="D36" s="34">
        <f t="shared" si="1"/>
        <v>33</v>
      </c>
    </row>
    <row r="37" spans="1:6" s="35" customFormat="1" ht="30" customHeight="1">
      <c r="A37" s="31"/>
      <c r="B37" s="32"/>
      <c r="C37" s="33"/>
      <c r="D37" s="34">
        <f t="shared" si="1"/>
        <v>33</v>
      </c>
    </row>
    <row r="38" spans="1:6" s="30" customFormat="1" ht="30" customHeight="1">
      <c r="A38" s="31"/>
      <c r="B38" s="32"/>
      <c r="C38" s="33"/>
      <c r="D38" s="34">
        <f t="shared" si="1"/>
        <v>33</v>
      </c>
      <c r="E38" s="36"/>
      <c r="F38" s="37"/>
    </row>
    <row r="39" spans="1:6" s="30" customFormat="1" ht="30" customHeight="1">
      <c r="A39" s="31"/>
      <c r="B39" s="32"/>
      <c r="C39" s="33"/>
      <c r="D39" s="34">
        <f t="shared" si="1"/>
        <v>33</v>
      </c>
      <c r="E39" s="36"/>
      <c r="F39" s="37"/>
    </row>
    <row r="40" spans="1:6" s="30" customFormat="1" ht="30" customHeight="1">
      <c r="A40" s="31"/>
      <c r="B40" s="32"/>
      <c r="C40" s="33"/>
      <c r="D40" s="34">
        <f t="shared" si="1"/>
        <v>33</v>
      </c>
    </row>
    <row r="41" spans="1:6" s="30" customFormat="1" ht="30" customHeight="1">
      <c r="A41" s="31"/>
      <c r="B41" s="32"/>
      <c r="C41" s="33"/>
      <c r="D41" s="34">
        <f t="shared" si="1"/>
        <v>33</v>
      </c>
      <c r="E41" s="38"/>
      <c r="F41" s="37"/>
    </row>
    <row r="42" spans="1:6" s="30" customFormat="1" ht="30" customHeight="1">
      <c r="A42" s="31"/>
      <c r="B42" s="32"/>
      <c r="C42" s="33"/>
      <c r="D42" s="34">
        <f t="shared" si="1"/>
        <v>33</v>
      </c>
      <c r="E42" s="38"/>
      <c r="F42" s="37"/>
    </row>
    <row r="43" spans="1:6" s="30" customFormat="1" ht="30" customHeight="1">
      <c r="A43" s="31"/>
      <c r="B43" s="32"/>
      <c r="C43" s="33"/>
      <c r="D43" s="34">
        <f t="shared" si="1"/>
        <v>33</v>
      </c>
      <c r="E43" s="38"/>
      <c r="F43" s="37"/>
    </row>
    <row r="44" spans="1:6" s="30" customFormat="1" ht="30" customHeight="1">
      <c r="A44" s="31"/>
      <c r="B44" s="32"/>
      <c r="C44" s="33"/>
      <c r="D44" s="34">
        <f t="shared" si="1"/>
        <v>33</v>
      </c>
      <c r="E44" s="38"/>
      <c r="F44" s="37"/>
    </row>
    <row r="45" spans="1:6" s="30" customFormat="1" ht="30" customHeight="1">
      <c r="A45" s="31"/>
      <c r="B45" s="32"/>
      <c r="C45" s="33"/>
      <c r="D45" s="34">
        <f t="shared" si="1"/>
        <v>33</v>
      </c>
    </row>
    <row r="46" spans="1:6" s="30" customFormat="1" ht="30" customHeight="1">
      <c r="A46" s="31"/>
      <c r="B46" s="32"/>
      <c r="C46" s="33"/>
      <c r="D46" s="34">
        <f t="shared" si="1"/>
        <v>33</v>
      </c>
      <c r="E46" s="36"/>
      <c r="F46" s="37"/>
    </row>
    <row r="47" spans="1:6" s="30" customFormat="1" ht="30" customHeight="1">
      <c r="A47" s="39"/>
      <c r="B47" s="40"/>
      <c r="C47" s="41"/>
      <c r="D47" s="34">
        <f t="shared" si="1"/>
        <v>33</v>
      </c>
    </row>
    <row r="48" spans="1:6" s="30" customFormat="1" ht="30" customHeight="1">
      <c r="A48" s="31"/>
      <c r="B48" s="32"/>
      <c r="C48" s="33"/>
      <c r="D48" s="34">
        <f t="shared" si="1"/>
        <v>33</v>
      </c>
    </row>
    <row r="49" spans="1:6" s="30" customFormat="1" ht="30" customHeight="1">
      <c r="A49" s="42"/>
      <c r="B49" s="32"/>
      <c r="C49" s="33"/>
      <c r="D49" s="34">
        <f t="shared" ref="D49:D69" si="2">D48-C49</f>
        <v>33</v>
      </c>
    </row>
    <row r="50" spans="1:6" s="30" customFormat="1" ht="30" customHeight="1">
      <c r="A50" s="42"/>
      <c r="B50" s="32"/>
      <c r="C50" s="33"/>
      <c r="D50" s="34">
        <f t="shared" si="2"/>
        <v>33</v>
      </c>
    </row>
    <row r="51" spans="1:6" s="30" customFormat="1" ht="30" customHeight="1" thickBot="1">
      <c r="A51" s="106" t="s">
        <v>53</v>
      </c>
      <c r="B51" s="95"/>
      <c r="C51" s="103"/>
      <c r="D51" s="104"/>
    </row>
    <row r="52" spans="1:6" s="30" customFormat="1" ht="39" customHeight="1" thickBot="1">
      <c r="A52" s="105" t="s">
        <v>54</v>
      </c>
      <c r="B52" s="89" t="s">
        <v>62</v>
      </c>
      <c r="C52" s="151" t="s">
        <v>56</v>
      </c>
      <c r="D52" s="152"/>
    </row>
    <row r="53" spans="1:6" s="30" customFormat="1" ht="18.75" customHeight="1">
      <c r="A53" s="128"/>
      <c r="B53" s="99" t="s">
        <v>57</v>
      </c>
      <c r="C53" s="153"/>
      <c r="D53" s="154"/>
    </row>
    <row r="54" spans="1:6" s="30" customFormat="1" ht="18.75" customHeight="1">
      <c r="A54" s="129"/>
      <c r="B54" s="100" t="s">
        <v>58</v>
      </c>
      <c r="C54" s="155"/>
      <c r="D54" s="156"/>
    </row>
    <row r="55" spans="1:6" s="30" customFormat="1" ht="18.75" customHeight="1">
      <c r="A55" s="129"/>
      <c r="B55" s="100" t="s">
        <v>59</v>
      </c>
      <c r="C55" s="155"/>
      <c r="D55" s="156"/>
    </row>
    <row r="56" spans="1:6" s="30" customFormat="1" ht="18.75" customHeight="1">
      <c r="A56" s="128"/>
      <c r="B56" s="99" t="s">
        <v>60</v>
      </c>
      <c r="C56" s="155"/>
      <c r="D56" s="156"/>
    </row>
    <row r="57" spans="1:6" s="30" customFormat="1" ht="18.75" customHeight="1" thickBot="1">
      <c r="A57" s="130"/>
      <c r="B57" s="101" t="s">
        <v>61</v>
      </c>
      <c r="C57" s="157"/>
      <c r="D57" s="158"/>
    </row>
    <row r="58" spans="1:6" s="30" customFormat="1" ht="18.75" customHeight="1">
      <c r="A58" s="96"/>
      <c r="B58" s="97"/>
      <c r="C58" s="98"/>
      <c r="D58" s="102"/>
    </row>
    <row r="59" spans="1:6" s="35" customFormat="1" ht="30" customHeight="1">
      <c r="A59" s="42"/>
      <c r="B59" s="32"/>
      <c r="C59" s="46"/>
      <c r="D59" s="34">
        <f>D50-C59</f>
        <v>33</v>
      </c>
    </row>
    <row r="60" spans="1:6" s="30" customFormat="1" ht="30" customHeight="1">
      <c r="A60" s="42"/>
      <c r="B60" s="32"/>
      <c r="C60" s="33"/>
      <c r="D60" s="34">
        <f t="shared" si="2"/>
        <v>33</v>
      </c>
      <c r="E60" s="36"/>
      <c r="F60" s="37"/>
    </row>
    <row r="61" spans="1:6" s="30" customFormat="1" ht="30" customHeight="1">
      <c r="A61" s="42"/>
      <c r="B61" s="32"/>
      <c r="C61" s="33"/>
      <c r="D61" s="34">
        <f t="shared" si="2"/>
        <v>33</v>
      </c>
      <c r="E61" s="36"/>
      <c r="F61" s="37"/>
    </row>
    <row r="62" spans="1:6" s="30" customFormat="1" ht="30" customHeight="1">
      <c r="A62" s="42"/>
      <c r="B62" s="32"/>
      <c r="C62" s="33"/>
      <c r="D62" s="34">
        <f t="shared" si="2"/>
        <v>33</v>
      </c>
    </row>
    <row r="63" spans="1:6" s="30" customFormat="1" ht="30" customHeight="1">
      <c r="A63" s="42"/>
      <c r="B63" s="32"/>
      <c r="C63" s="33"/>
      <c r="D63" s="34">
        <f t="shared" si="2"/>
        <v>33</v>
      </c>
      <c r="E63" s="38"/>
      <c r="F63" s="37"/>
    </row>
    <row r="64" spans="1:6" s="30" customFormat="1" ht="30" customHeight="1">
      <c r="A64" s="42"/>
      <c r="B64" s="32"/>
      <c r="C64" s="33"/>
      <c r="D64" s="34">
        <f t="shared" si="2"/>
        <v>33</v>
      </c>
    </row>
    <row r="65" spans="1:6" s="30" customFormat="1" ht="30" customHeight="1">
      <c r="A65" s="42"/>
      <c r="B65" s="32"/>
      <c r="C65" s="33"/>
      <c r="D65" s="34">
        <f t="shared" si="2"/>
        <v>33</v>
      </c>
      <c r="E65" s="36"/>
      <c r="F65" s="37"/>
    </row>
    <row r="66" spans="1:6" s="30" customFormat="1" ht="30" customHeight="1">
      <c r="A66" s="42"/>
      <c r="B66" s="32"/>
      <c r="C66" s="33"/>
      <c r="D66" s="34">
        <f t="shared" si="2"/>
        <v>33</v>
      </c>
      <c r="E66" s="36"/>
      <c r="F66" s="37"/>
    </row>
    <row r="67" spans="1:6" s="30" customFormat="1" ht="30" customHeight="1">
      <c r="A67" s="42"/>
      <c r="B67" s="32"/>
      <c r="C67" s="33"/>
      <c r="D67" s="34">
        <f t="shared" si="2"/>
        <v>33</v>
      </c>
      <c r="E67" s="36"/>
      <c r="F67" s="37"/>
    </row>
    <row r="68" spans="1:6" s="30" customFormat="1" ht="30" customHeight="1">
      <c r="A68" s="42"/>
      <c r="B68" s="32"/>
      <c r="C68" s="33"/>
      <c r="D68" s="34">
        <f t="shared" si="2"/>
        <v>33</v>
      </c>
      <c r="E68" s="36"/>
    </row>
    <row r="69" spans="1:6" s="30" customFormat="1" ht="30" customHeight="1" thickBot="1">
      <c r="A69" s="43"/>
      <c r="B69" s="44"/>
      <c r="C69" s="45"/>
      <c r="D69" s="47">
        <f t="shared" si="2"/>
        <v>33</v>
      </c>
    </row>
  </sheetData>
  <sheetProtection selectLockedCells="1" selectUnlockedCells="1"/>
  <mergeCells count="4">
    <mergeCell ref="C23:D23"/>
    <mergeCell ref="C24:D28"/>
    <mergeCell ref="C52:D52"/>
    <mergeCell ref="C53:D57"/>
  </mergeCells>
  <pageMargins left="0.2361111111111111" right="0.2361111111111111" top="0.15763888888888888" bottom="0.15763888888888888" header="0.51180555555555551" footer="0.51180555555555551"/>
  <pageSetup paperSize="9" firstPageNumber="0" orientation="landscape"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2369" r:id="rId4" name="Check Box 81">
              <controlPr defaultSize="0" autoFill="0" autoLine="0" autoPict="0">
                <anchor moveWithCells="1">
                  <from>
                    <xdr:col>4</xdr:col>
                    <xdr:colOff>2171700</xdr:colOff>
                    <xdr:row>4</xdr:row>
                    <xdr:rowOff>152400</xdr:rowOff>
                  </from>
                  <to>
                    <xdr:col>4</xdr:col>
                    <xdr:colOff>2794000</xdr:colOff>
                    <xdr:row>4</xdr:row>
                    <xdr:rowOff>406400</xdr:rowOff>
                  </to>
                </anchor>
              </controlPr>
            </control>
          </mc:Choice>
        </mc:AlternateContent>
        <mc:AlternateContent xmlns:mc="http://schemas.openxmlformats.org/markup-compatibility/2006">
          <mc:Choice Requires="x14">
            <control shapeId="12370" r:id="rId5" name="Check Box 82">
              <controlPr defaultSize="0" autoFill="0" autoLine="0" autoPict="0">
                <anchor moveWithCells="1">
                  <from>
                    <xdr:col>4</xdr:col>
                    <xdr:colOff>3060700</xdr:colOff>
                    <xdr:row>4</xdr:row>
                    <xdr:rowOff>165100</xdr:rowOff>
                  </from>
                  <to>
                    <xdr:col>4</xdr:col>
                    <xdr:colOff>3556000</xdr:colOff>
                    <xdr:row>4</xdr:row>
                    <xdr:rowOff>393700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6CE24-DB06-4695-BC73-2B60E5E69331}">
  <sheetPr>
    <tabColor theme="6" tint="0.39997558519241921"/>
  </sheetPr>
  <dimension ref="A1:F81"/>
  <sheetViews>
    <sheetView workbookViewId="0">
      <pane ySplit="5" topLeftCell="C31" activePane="bottomLeft" state="frozen"/>
      <selection pane="bottomLeft" activeCell="C31" sqref="C31"/>
      <selection activeCell="E56" sqref="E56"/>
    </sheetView>
  </sheetViews>
  <sheetFormatPr defaultColWidth="11.42578125" defaultRowHeight="15"/>
  <cols>
    <col min="1" max="1" width="26.42578125" style="20" customWidth="1"/>
    <col min="2" max="2" width="55" style="21" customWidth="1"/>
    <col min="3" max="3" width="20.140625" style="22" customWidth="1"/>
    <col min="4" max="4" width="27.42578125" style="22" customWidth="1"/>
    <col min="5" max="5" width="53.7109375" style="1" customWidth="1"/>
    <col min="6" max="6" width="15.28515625" style="1" customWidth="1"/>
    <col min="7" max="16384" width="11.42578125" style="1"/>
  </cols>
  <sheetData>
    <row r="1" spans="1:6" ht="21" thickBot="1">
      <c r="A1" s="88" t="s">
        <v>63</v>
      </c>
      <c r="B1" s="127" t="s">
        <v>29</v>
      </c>
    </row>
    <row r="2" spans="1:6" ht="18.95">
      <c r="B2" s="134"/>
    </row>
    <row r="3" spans="1:6" ht="20.100000000000001" thickBot="1">
      <c r="A3" s="23" t="s">
        <v>30</v>
      </c>
      <c r="B3" s="24">
        <v>50</v>
      </c>
      <c r="C3" s="25"/>
    </row>
    <row r="4" spans="1:6" ht="21" thickBot="1">
      <c r="A4" s="13"/>
      <c r="B4" s="127" t="s">
        <v>64</v>
      </c>
    </row>
    <row r="5" spans="1:6" ht="42" customHeight="1" thickBot="1">
      <c r="A5" s="85" t="s">
        <v>32</v>
      </c>
      <c r="B5" s="86" t="s">
        <v>33</v>
      </c>
      <c r="C5" s="86" t="s">
        <v>34</v>
      </c>
      <c r="D5" s="87" t="s">
        <v>35</v>
      </c>
      <c r="E5" s="131" t="s">
        <v>36</v>
      </c>
      <c r="F5" s="16"/>
    </row>
    <row r="6" spans="1:6" s="30" customFormat="1" ht="30" customHeight="1">
      <c r="A6" s="26">
        <v>45975</v>
      </c>
      <c r="B6" s="27" t="s">
        <v>65</v>
      </c>
      <c r="C6" s="138">
        <v>0.75</v>
      </c>
      <c r="D6" s="29">
        <f>B3-C6</f>
        <v>49.25</v>
      </c>
    </row>
    <row r="7" spans="1:6" s="30" customFormat="1" ht="30" customHeight="1">
      <c r="A7" s="31">
        <v>45981</v>
      </c>
      <c r="B7" s="32" t="s">
        <v>66</v>
      </c>
      <c r="C7" s="139">
        <v>0.75</v>
      </c>
      <c r="D7" s="34">
        <f>D6-C7</f>
        <v>48.5</v>
      </c>
    </row>
    <row r="8" spans="1:6" s="30" customFormat="1" ht="30" customHeight="1">
      <c r="A8" s="31">
        <v>45988</v>
      </c>
      <c r="B8" s="32" t="s">
        <v>67</v>
      </c>
      <c r="C8" s="139">
        <v>1</v>
      </c>
      <c r="D8" s="34">
        <f t="shared" ref="D8:D42" si="0">D7-C8</f>
        <v>47.5</v>
      </c>
    </row>
    <row r="9" spans="1:6" s="30" customFormat="1" ht="30" customHeight="1">
      <c r="A9" s="31">
        <v>45995</v>
      </c>
      <c r="B9" s="32" t="s">
        <v>68</v>
      </c>
      <c r="C9" s="139">
        <v>1</v>
      </c>
      <c r="D9" s="34">
        <f t="shared" si="0"/>
        <v>46.5</v>
      </c>
      <c r="E9" s="30" t="s">
        <v>69</v>
      </c>
    </row>
    <row r="10" spans="1:6" s="30" customFormat="1" ht="30" customHeight="1">
      <c r="A10" s="31">
        <v>46002</v>
      </c>
      <c r="B10" s="32" t="s">
        <v>70</v>
      </c>
      <c r="C10" s="139">
        <v>1</v>
      </c>
      <c r="D10" s="34">
        <f t="shared" si="0"/>
        <v>45.5</v>
      </c>
    </row>
    <row r="11" spans="1:6" s="30" customFormat="1" ht="30" customHeight="1">
      <c r="A11" s="31">
        <v>46007</v>
      </c>
      <c r="B11" s="32" t="s">
        <v>71</v>
      </c>
      <c r="C11" s="139">
        <v>0.75</v>
      </c>
      <c r="D11" s="34">
        <f t="shared" si="0"/>
        <v>44.75</v>
      </c>
    </row>
    <row r="12" spans="1:6" s="30" customFormat="1" ht="30" customHeight="1">
      <c r="A12" s="31">
        <v>46014</v>
      </c>
      <c r="B12" s="32" t="s">
        <v>72</v>
      </c>
      <c r="C12" s="139">
        <v>0.75</v>
      </c>
      <c r="D12" s="34">
        <f t="shared" si="0"/>
        <v>44</v>
      </c>
    </row>
    <row r="13" spans="1:6" s="30" customFormat="1" ht="30" customHeight="1">
      <c r="A13" s="31">
        <v>46024</v>
      </c>
      <c r="B13" s="32" t="s">
        <v>73</v>
      </c>
      <c r="C13" s="139">
        <v>1</v>
      </c>
      <c r="D13" s="34">
        <f t="shared" si="0"/>
        <v>43</v>
      </c>
    </row>
    <row r="14" spans="1:6" s="30" customFormat="1" ht="30" customHeight="1">
      <c r="A14" s="31">
        <v>46030</v>
      </c>
      <c r="B14" s="32" t="s">
        <v>74</v>
      </c>
      <c r="C14" s="139">
        <v>0.75</v>
      </c>
      <c r="D14" s="34">
        <f t="shared" si="0"/>
        <v>42.25</v>
      </c>
    </row>
    <row r="15" spans="1:6" s="30" customFormat="1" ht="30" customHeight="1">
      <c r="A15" s="31">
        <v>46037</v>
      </c>
      <c r="B15" s="32" t="s">
        <v>75</v>
      </c>
      <c r="C15" s="139">
        <v>1</v>
      </c>
      <c r="D15" s="34">
        <f t="shared" si="0"/>
        <v>41.25</v>
      </c>
    </row>
    <row r="16" spans="1:6" s="30" customFormat="1" ht="30" customHeight="1">
      <c r="A16" s="31">
        <v>46044</v>
      </c>
      <c r="B16" s="32" t="s">
        <v>76</v>
      </c>
      <c r="C16" s="139">
        <v>0.75</v>
      </c>
      <c r="D16" s="34">
        <f t="shared" si="0"/>
        <v>40.5</v>
      </c>
    </row>
    <row r="17" spans="1:6" s="30" customFormat="1" ht="30" customHeight="1">
      <c r="A17" s="31">
        <v>46051</v>
      </c>
      <c r="B17" s="32" t="s">
        <v>77</v>
      </c>
      <c r="C17" s="139">
        <v>1</v>
      </c>
      <c r="D17" s="34">
        <f t="shared" si="0"/>
        <v>39.5</v>
      </c>
    </row>
    <row r="18" spans="1:6" s="30" customFormat="1" ht="30" customHeight="1">
      <c r="A18" s="31">
        <v>46058</v>
      </c>
      <c r="B18" s="32" t="s">
        <v>78</v>
      </c>
      <c r="C18" s="139">
        <v>0.75</v>
      </c>
      <c r="D18" s="34">
        <f t="shared" si="0"/>
        <v>38.75</v>
      </c>
    </row>
    <row r="19" spans="1:6" s="35" customFormat="1" ht="30" customHeight="1">
      <c r="A19" s="31">
        <v>46066</v>
      </c>
      <c r="B19" s="32" t="s">
        <v>79</v>
      </c>
      <c r="C19" s="139">
        <v>0.75</v>
      </c>
      <c r="D19" s="34">
        <f t="shared" si="0"/>
        <v>38</v>
      </c>
    </row>
    <row r="20" spans="1:6" s="30" customFormat="1" ht="30" customHeight="1">
      <c r="A20" s="31">
        <v>46072</v>
      </c>
      <c r="B20" s="32" t="s">
        <v>80</v>
      </c>
      <c r="C20" s="139">
        <v>1</v>
      </c>
      <c r="D20" s="34">
        <f t="shared" si="0"/>
        <v>37</v>
      </c>
      <c r="E20" s="36"/>
      <c r="F20" s="37"/>
    </row>
    <row r="21" spans="1:6" s="30" customFormat="1" ht="30" customHeight="1">
      <c r="A21" s="31">
        <v>46079</v>
      </c>
      <c r="B21" s="32" t="s">
        <v>81</v>
      </c>
      <c r="C21" s="139">
        <v>1</v>
      </c>
      <c r="D21" s="34">
        <f t="shared" si="0"/>
        <v>36</v>
      </c>
      <c r="E21" s="36"/>
      <c r="F21" s="37"/>
    </row>
    <row r="22" spans="1:6" s="30" customFormat="1" ht="24.75" customHeight="1" thickBot="1">
      <c r="A22" s="106" t="s">
        <v>82</v>
      </c>
      <c r="B22" s="95"/>
      <c r="C22" s="103"/>
      <c r="D22" s="104"/>
      <c r="E22" s="36"/>
      <c r="F22" s="37"/>
    </row>
    <row r="23" spans="1:6" s="30" customFormat="1" ht="41.25" customHeight="1" thickBot="1">
      <c r="A23" s="105" t="s">
        <v>54</v>
      </c>
      <c r="B23" s="89" t="s">
        <v>83</v>
      </c>
      <c r="C23" s="151" t="s">
        <v>56</v>
      </c>
      <c r="D23" s="152"/>
      <c r="E23" s="36"/>
      <c r="F23" s="37"/>
    </row>
    <row r="24" spans="1:6" s="30" customFormat="1" ht="18" customHeight="1">
      <c r="A24" s="128"/>
      <c r="B24" s="99" t="s">
        <v>57</v>
      </c>
      <c r="C24" s="153"/>
      <c r="D24" s="154"/>
      <c r="E24" s="36"/>
      <c r="F24" s="37"/>
    </row>
    <row r="25" spans="1:6" s="30" customFormat="1" ht="18" customHeight="1">
      <c r="A25" s="129"/>
      <c r="B25" s="100" t="s">
        <v>58</v>
      </c>
      <c r="C25" s="155"/>
      <c r="D25" s="156"/>
      <c r="E25" s="36"/>
      <c r="F25" s="37"/>
    </row>
    <row r="26" spans="1:6" s="30" customFormat="1" ht="18" customHeight="1">
      <c r="A26" s="129"/>
      <c r="B26" s="100" t="s">
        <v>59</v>
      </c>
      <c r="C26" s="155"/>
      <c r="D26" s="156"/>
      <c r="E26" s="36"/>
      <c r="F26" s="37"/>
    </row>
    <row r="27" spans="1:6" s="30" customFormat="1" ht="18" customHeight="1">
      <c r="A27" s="128"/>
      <c r="B27" s="99" t="s">
        <v>60</v>
      </c>
      <c r="C27" s="155"/>
      <c r="D27" s="156"/>
      <c r="E27" s="36"/>
      <c r="F27" s="37"/>
    </row>
    <row r="28" spans="1:6" s="30" customFormat="1" ht="18" customHeight="1" thickBot="1">
      <c r="A28" s="130"/>
      <c r="B28" s="101" t="s">
        <v>61</v>
      </c>
      <c r="C28" s="157"/>
      <c r="D28" s="158"/>
      <c r="E28" s="36"/>
      <c r="F28" s="37"/>
    </row>
    <row r="29" spans="1:6" s="30" customFormat="1" ht="18" customHeight="1">
      <c r="A29" s="96"/>
      <c r="B29" s="97"/>
      <c r="C29" s="98"/>
      <c r="D29" s="102"/>
      <c r="E29" s="36"/>
      <c r="F29" s="37"/>
    </row>
    <row r="30" spans="1:6" s="30" customFormat="1" ht="30" customHeight="1">
      <c r="A30" s="31">
        <v>46086</v>
      </c>
      <c r="B30" s="32" t="s">
        <v>84</v>
      </c>
      <c r="C30" s="33">
        <v>0.75</v>
      </c>
      <c r="D30" s="34">
        <f>D21-C30</f>
        <v>35.25</v>
      </c>
    </row>
    <row r="31" spans="1:6" s="30" customFormat="1" ht="30" customHeight="1">
      <c r="A31" s="31">
        <v>46093</v>
      </c>
      <c r="B31" s="32" t="s">
        <v>85</v>
      </c>
      <c r="C31" s="33">
        <v>1</v>
      </c>
      <c r="D31" s="34">
        <f t="shared" si="0"/>
        <v>34.25</v>
      </c>
      <c r="E31" s="38"/>
      <c r="F31" s="37"/>
    </row>
    <row r="32" spans="1:6" s="30" customFormat="1" ht="30" customHeight="1">
      <c r="A32" s="39">
        <v>46101</v>
      </c>
      <c r="B32" s="40" t="s">
        <v>86</v>
      </c>
      <c r="C32" s="41">
        <v>0.5</v>
      </c>
      <c r="D32" s="34">
        <f t="shared" si="0"/>
        <v>33.75</v>
      </c>
    </row>
    <row r="33" spans="1:6" s="30" customFormat="1" ht="30" customHeight="1">
      <c r="A33" s="31"/>
      <c r="B33" s="32"/>
      <c r="C33" s="33"/>
      <c r="D33" s="34">
        <f t="shared" si="0"/>
        <v>33.75</v>
      </c>
      <c r="E33" s="36"/>
      <c r="F33" s="37"/>
    </row>
    <row r="34" spans="1:6" s="30" customFormat="1" ht="30" customHeight="1">
      <c r="A34" s="31"/>
      <c r="B34" s="32"/>
      <c r="C34" s="33"/>
      <c r="D34" s="34">
        <f t="shared" si="0"/>
        <v>33.75</v>
      </c>
      <c r="E34" s="36"/>
      <c r="F34" s="37"/>
    </row>
    <row r="35" spans="1:6" s="30" customFormat="1" ht="30" customHeight="1">
      <c r="A35" s="113"/>
      <c r="B35" s="40"/>
      <c r="C35" s="41"/>
      <c r="D35" s="34">
        <f t="shared" si="0"/>
        <v>33.75</v>
      </c>
      <c r="E35" s="36"/>
      <c r="F35" s="37"/>
    </row>
    <row r="36" spans="1:6" s="30" customFormat="1" ht="30" customHeight="1">
      <c r="A36" s="113"/>
      <c r="B36" s="40"/>
      <c r="C36" s="41"/>
      <c r="D36" s="34">
        <f t="shared" si="0"/>
        <v>33.75</v>
      </c>
      <c r="E36" s="36"/>
      <c r="F36" s="37"/>
    </row>
    <row r="37" spans="1:6" s="30" customFormat="1" ht="30" customHeight="1">
      <c r="A37" s="113"/>
      <c r="B37" s="40"/>
      <c r="C37" s="41"/>
      <c r="D37" s="34">
        <f t="shared" si="0"/>
        <v>33.75</v>
      </c>
      <c r="E37" s="36"/>
      <c r="F37" s="37"/>
    </row>
    <row r="38" spans="1:6" s="30" customFormat="1" ht="30" customHeight="1">
      <c r="A38" s="113"/>
      <c r="B38" s="40"/>
      <c r="C38" s="41"/>
      <c r="D38" s="34">
        <f t="shared" si="0"/>
        <v>33.75</v>
      </c>
      <c r="E38" s="36"/>
      <c r="F38" s="37"/>
    </row>
    <row r="39" spans="1:6" s="30" customFormat="1" ht="30" customHeight="1">
      <c r="A39" s="113"/>
      <c r="B39" s="40"/>
      <c r="C39" s="41"/>
      <c r="D39" s="34">
        <f t="shared" si="0"/>
        <v>33.75</v>
      </c>
      <c r="E39" s="36"/>
      <c r="F39" s="37"/>
    </row>
    <row r="40" spans="1:6" s="30" customFormat="1" ht="30" customHeight="1">
      <c r="A40" s="39"/>
      <c r="B40" s="40"/>
      <c r="C40" s="41"/>
      <c r="D40" s="34">
        <f t="shared" si="0"/>
        <v>33.75</v>
      </c>
      <c r="E40" s="36"/>
      <c r="F40" s="37"/>
    </row>
    <row r="41" spans="1:6" s="30" customFormat="1" ht="30" customHeight="1">
      <c r="A41" s="31"/>
      <c r="B41" s="32"/>
      <c r="C41" s="33"/>
      <c r="D41" s="34">
        <f t="shared" si="0"/>
        <v>33.75</v>
      </c>
      <c r="E41" s="36"/>
    </row>
    <row r="42" spans="1:6" s="30" customFormat="1" ht="30" customHeight="1">
      <c r="A42" s="112"/>
      <c r="B42" s="109"/>
      <c r="C42" s="110"/>
      <c r="D42" s="111">
        <f t="shared" si="0"/>
        <v>33.75</v>
      </c>
    </row>
    <row r="43" spans="1:6" s="30" customFormat="1" ht="30" customHeight="1">
      <c r="A43" s="39"/>
      <c r="B43" s="40"/>
      <c r="C43" s="41"/>
      <c r="D43" s="107">
        <f>D42-C43</f>
        <v>33.75</v>
      </c>
    </row>
    <row r="44" spans="1:6" s="30" customFormat="1" ht="30" customHeight="1">
      <c r="A44" s="31"/>
      <c r="B44" s="32"/>
      <c r="C44" s="33"/>
      <c r="D44" s="34">
        <f>D43-C44</f>
        <v>33.75</v>
      </c>
    </row>
    <row r="45" spans="1:6" s="30" customFormat="1" ht="30" customHeight="1">
      <c r="A45" s="31"/>
      <c r="B45" s="32"/>
      <c r="C45" s="33"/>
      <c r="D45" s="34">
        <f>D44-C45</f>
        <v>33.75</v>
      </c>
    </row>
    <row r="46" spans="1:6" s="30" customFormat="1" ht="30" customHeight="1">
      <c r="A46" s="31"/>
      <c r="B46" s="32"/>
      <c r="C46" s="33"/>
      <c r="D46" s="34">
        <f t="shared" ref="D46:D65" si="1">D45-C46</f>
        <v>33.75</v>
      </c>
    </row>
    <row r="47" spans="1:6" s="30" customFormat="1" ht="30" customHeight="1" thickBot="1">
      <c r="A47" s="106" t="s">
        <v>82</v>
      </c>
      <c r="B47" s="95"/>
      <c r="C47" s="103"/>
      <c r="D47" s="104"/>
    </row>
    <row r="48" spans="1:6" s="30" customFormat="1" ht="40.5" customHeight="1" thickBot="1">
      <c r="A48" s="105" t="s">
        <v>54</v>
      </c>
      <c r="B48" s="89" t="s">
        <v>87</v>
      </c>
      <c r="C48" s="151" t="s">
        <v>56</v>
      </c>
      <c r="D48" s="152"/>
    </row>
    <row r="49" spans="1:6" s="30" customFormat="1" ht="17.25" customHeight="1">
      <c r="A49" s="128"/>
      <c r="B49" s="99" t="s">
        <v>57</v>
      </c>
      <c r="C49" s="153"/>
      <c r="D49" s="154"/>
    </row>
    <row r="50" spans="1:6" s="30" customFormat="1" ht="17.25" customHeight="1">
      <c r="A50" s="129"/>
      <c r="B50" s="100" t="s">
        <v>58</v>
      </c>
      <c r="C50" s="155"/>
      <c r="D50" s="156"/>
    </row>
    <row r="51" spans="1:6" s="30" customFormat="1" ht="17.25" customHeight="1">
      <c r="A51" s="129"/>
      <c r="B51" s="100" t="s">
        <v>59</v>
      </c>
      <c r="C51" s="155"/>
      <c r="D51" s="156"/>
    </row>
    <row r="52" spans="1:6" s="30" customFormat="1" ht="17.25" customHeight="1">
      <c r="A52" s="128"/>
      <c r="B52" s="99" t="s">
        <v>60</v>
      </c>
      <c r="C52" s="155"/>
      <c r="D52" s="156"/>
    </row>
    <row r="53" spans="1:6" s="30" customFormat="1" ht="17.25" customHeight="1" thickBot="1">
      <c r="A53" s="130"/>
      <c r="B53" s="101" t="s">
        <v>61</v>
      </c>
      <c r="C53" s="157"/>
      <c r="D53" s="158"/>
    </row>
    <row r="54" spans="1:6" s="30" customFormat="1" ht="17.25" customHeight="1">
      <c r="A54" s="96"/>
      <c r="B54" s="97"/>
      <c r="C54" s="98"/>
      <c r="D54" s="102"/>
    </row>
    <row r="55" spans="1:6" s="35" customFormat="1" ht="30" customHeight="1">
      <c r="A55" s="31"/>
      <c r="B55" s="32"/>
      <c r="C55" s="33"/>
      <c r="D55" s="34">
        <f>D46-C55</f>
        <v>33.75</v>
      </c>
    </row>
    <row r="56" spans="1:6" s="30" customFormat="1" ht="30" customHeight="1">
      <c r="A56" s="31"/>
      <c r="B56" s="32"/>
      <c r="C56" s="33"/>
      <c r="D56" s="34">
        <f t="shared" si="1"/>
        <v>33.75</v>
      </c>
      <c r="E56" s="36"/>
      <c r="F56" s="37"/>
    </row>
    <row r="57" spans="1:6" s="30" customFormat="1" ht="30" customHeight="1">
      <c r="A57" s="31"/>
      <c r="B57" s="32"/>
      <c r="C57" s="33"/>
      <c r="D57" s="34">
        <f t="shared" si="1"/>
        <v>33.75</v>
      </c>
      <c r="E57" s="36"/>
      <c r="F57" s="37"/>
    </row>
    <row r="58" spans="1:6" s="30" customFormat="1" ht="30" customHeight="1">
      <c r="A58" s="31"/>
      <c r="B58" s="32"/>
      <c r="C58" s="33"/>
      <c r="D58" s="34">
        <f t="shared" si="1"/>
        <v>33.75</v>
      </c>
    </row>
    <row r="59" spans="1:6" s="30" customFormat="1" ht="30" customHeight="1">
      <c r="A59" s="31"/>
      <c r="B59" s="32"/>
      <c r="C59" s="33"/>
      <c r="D59" s="34">
        <f t="shared" si="1"/>
        <v>33.75</v>
      </c>
      <c r="E59" s="38"/>
      <c r="F59" s="37"/>
    </row>
    <row r="60" spans="1:6" s="30" customFormat="1" ht="30" customHeight="1">
      <c r="A60" s="31"/>
      <c r="B60" s="32"/>
      <c r="C60" s="33"/>
      <c r="D60" s="34">
        <f t="shared" si="1"/>
        <v>33.75</v>
      </c>
    </row>
    <row r="61" spans="1:6" s="30" customFormat="1" ht="30" customHeight="1">
      <c r="A61" s="31"/>
      <c r="B61" s="32"/>
      <c r="C61" s="33"/>
      <c r="D61" s="34">
        <f t="shared" si="1"/>
        <v>33.75</v>
      </c>
      <c r="E61" s="36"/>
      <c r="F61" s="37"/>
    </row>
    <row r="62" spans="1:6" s="30" customFormat="1" ht="30" customHeight="1">
      <c r="A62" s="31"/>
      <c r="B62" s="32"/>
      <c r="C62" s="33"/>
      <c r="D62" s="34">
        <f t="shared" si="1"/>
        <v>33.75</v>
      </c>
      <c r="E62" s="36"/>
      <c r="F62" s="37"/>
    </row>
    <row r="63" spans="1:6" s="30" customFormat="1" ht="30" customHeight="1">
      <c r="A63" s="42"/>
      <c r="B63" s="32"/>
      <c r="C63" s="33"/>
      <c r="D63" s="34">
        <f t="shared" si="1"/>
        <v>33.75</v>
      </c>
      <c r="E63" s="36"/>
      <c r="F63" s="37"/>
    </row>
    <row r="64" spans="1:6" s="30" customFormat="1" ht="30" customHeight="1">
      <c r="A64" s="42"/>
      <c r="B64" s="32"/>
      <c r="C64" s="33"/>
      <c r="D64" s="34">
        <f t="shared" si="1"/>
        <v>33.75</v>
      </c>
      <c r="E64" s="36"/>
    </row>
    <row r="65" spans="1:6" s="30" customFormat="1" ht="30" customHeight="1" thickBot="1">
      <c r="A65" s="43"/>
      <c r="B65" s="44"/>
      <c r="C65" s="45"/>
      <c r="D65" s="34">
        <f t="shared" si="1"/>
        <v>33.75</v>
      </c>
    </row>
    <row r="66" spans="1:6" ht="42" customHeight="1" thickBot="1">
      <c r="A66" s="85" t="s">
        <v>32</v>
      </c>
      <c r="B66" s="86" t="s">
        <v>33</v>
      </c>
      <c r="C66" s="86" t="s">
        <v>34</v>
      </c>
      <c r="D66" s="87" t="s">
        <v>35</v>
      </c>
      <c r="E66" s="15"/>
      <c r="F66" s="16"/>
    </row>
    <row r="67" spans="1:6" s="30" customFormat="1" ht="30" customHeight="1">
      <c r="A67" s="26"/>
      <c r="B67" s="27"/>
      <c r="C67" s="28"/>
      <c r="D67" s="34">
        <f>D65-C67</f>
        <v>33.75</v>
      </c>
    </row>
    <row r="68" spans="1:6" s="30" customFormat="1" ht="30" customHeight="1">
      <c r="A68" s="31"/>
      <c r="B68" s="32"/>
      <c r="C68" s="33"/>
      <c r="D68" s="34">
        <f>D67-C68</f>
        <v>33.75</v>
      </c>
    </row>
    <row r="69" spans="1:6" s="30" customFormat="1" ht="30" customHeight="1">
      <c r="A69" s="42"/>
      <c r="B69" s="32"/>
      <c r="C69" s="33"/>
      <c r="D69" s="34">
        <f t="shared" ref="D69:D81" si="2">D68-C69</f>
        <v>33.75</v>
      </c>
    </row>
    <row r="70" spans="1:6" s="30" customFormat="1" ht="30" customHeight="1">
      <c r="A70" s="42"/>
      <c r="B70" s="32"/>
      <c r="C70" s="33"/>
      <c r="D70" s="34">
        <f t="shared" si="2"/>
        <v>33.75</v>
      </c>
    </row>
    <row r="71" spans="1:6" s="35" customFormat="1" ht="30" customHeight="1">
      <c r="A71" s="42"/>
      <c r="B71" s="32"/>
      <c r="C71" s="46"/>
      <c r="D71" s="34">
        <f t="shared" si="2"/>
        <v>33.75</v>
      </c>
    </row>
    <row r="72" spans="1:6" s="30" customFormat="1" ht="30" customHeight="1">
      <c r="A72" s="42"/>
      <c r="B72" s="32"/>
      <c r="C72" s="33"/>
      <c r="D72" s="34">
        <f t="shared" si="2"/>
        <v>33.75</v>
      </c>
      <c r="E72" s="36"/>
      <c r="F72" s="37"/>
    </row>
    <row r="73" spans="1:6" s="30" customFormat="1" ht="30" customHeight="1">
      <c r="A73" s="42"/>
      <c r="B73" s="32"/>
      <c r="C73" s="33"/>
      <c r="D73" s="34">
        <f t="shared" si="2"/>
        <v>33.75</v>
      </c>
      <c r="E73" s="36"/>
      <c r="F73" s="37"/>
    </row>
    <row r="74" spans="1:6" s="30" customFormat="1" ht="30" customHeight="1">
      <c r="A74" s="42"/>
      <c r="B74" s="32"/>
      <c r="C74" s="33"/>
      <c r="D74" s="34">
        <f t="shared" si="2"/>
        <v>33.75</v>
      </c>
    </row>
    <row r="75" spans="1:6" s="30" customFormat="1" ht="30" customHeight="1">
      <c r="A75" s="42"/>
      <c r="B75" s="32"/>
      <c r="C75" s="33"/>
      <c r="D75" s="34">
        <f t="shared" si="2"/>
        <v>33.75</v>
      </c>
      <c r="E75" s="38"/>
      <c r="F75" s="37"/>
    </row>
    <row r="76" spans="1:6" s="30" customFormat="1" ht="30" customHeight="1">
      <c r="A76" s="42"/>
      <c r="B76" s="32"/>
      <c r="C76" s="33"/>
      <c r="D76" s="34">
        <f t="shared" si="2"/>
        <v>33.75</v>
      </c>
    </row>
    <row r="77" spans="1:6" s="30" customFormat="1" ht="30" customHeight="1">
      <c r="A77" s="42"/>
      <c r="B77" s="32"/>
      <c r="C77" s="33"/>
      <c r="D77" s="34">
        <f t="shared" si="2"/>
        <v>33.75</v>
      </c>
      <c r="E77" s="36"/>
      <c r="F77" s="37"/>
    </row>
    <row r="78" spans="1:6" s="30" customFormat="1" ht="30" customHeight="1">
      <c r="A78" s="42"/>
      <c r="B78" s="32"/>
      <c r="C78" s="33"/>
      <c r="D78" s="34">
        <f t="shared" si="2"/>
        <v>33.75</v>
      </c>
      <c r="E78" s="36"/>
      <c r="F78" s="37"/>
    </row>
    <row r="79" spans="1:6" s="30" customFormat="1" ht="30" customHeight="1">
      <c r="A79" s="42"/>
      <c r="B79" s="32"/>
      <c r="C79" s="33"/>
      <c r="D79" s="34">
        <f t="shared" si="2"/>
        <v>33.75</v>
      </c>
      <c r="E79" s="36"/>
      <c r="F79" s="37"/>
    </row>
    <row r="80" spans="1:6" s="30" customFormat="1" ht="30" customHeight="1">
      <c r="A80" s="42"/>
      <c r="B80" s="32"/>
      <c r="C80" s="33"/>
      <c r="D80" s="34">
        <f t="shared" si="2"/>
        <v>33.75</v>
      </c>
      <c r="E80" s="36"/>
    </row>
    <row r="81" spans="1:4" s="30" customFormat="1" ht="30" customHeight="1" thickBot="1">
      <c r="A81" s="43"/>
      <c r="B81" s="44"/>
      <c r="C81" s="45"/>
      <c r="D81" s="47">
        <f t="shared" si="2"/>
        <v>33.75</v>
      </c>
    </row>
  </sheetData>
  <sheetProtection selectLockedCells="1" selectUnlockedCells="1"/>
  <mergeCells count="4">
    <mergeCell ref="C23:D23"/>
    <mergeCell ref="C24:D28"/>
    <mergeCell ref="C48:D48"/>
    <mergeCell ref="C49:D53"/>
  </mergeCells>
  <pageMargins left="0.2361111111111111" right="0.2361111111111111" top="0.15763888888888888" bottom="0.15763888888888888" header="0.51180555555555551" footer="0.51180555555555551"/>
  <pageSetup paperSize="9" firstPageNumber="0" orientation="landscape" horizontalDpi="300" verticalDpi="300"/>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17446" r:id="rId3" name="Check Box 38">
              <controlPr defaultSize="0" autoFill="0" autoLine="0" autoPict="0">
                <anchor moveWithCells="1">
                  <from>
                    <xdr:col>4</xdr:col>
                    <xdr:colOff>2171700</xdr:colOff>
                    <xdr:row>4</xdr:row>
                    <xdr:rowOff>152400</xdr:rowOff>
                  </from>
                  <to>
                    <xdr:col>4</xdr:col>
                    <xdr:colOff>2794000</xdr:colOff>
                    <xdr:row>4</xdr:row>
                    <xdr:rowOff>406400</xdr:rowOff>
                  </to>
                </anchor>
              </controlPr>
            </control>
          </mc:Choice>
        </mc:AlternateContent>
        <mc:AlternateContent xmlns:mc="http://schemas.openxmlformats.org/markup-compatibility/2006">
          <mc:Choice Requires="x14">
            <control shapeId="17447" r:id="rId4" name="Check Box 39">
              <controlPr defaultSize="0" autoFill="0" autoLine="0" autoPict="0">
                <anchor moveWithCells="1">
                  <from>
                    <xdr:col>4</xdr:col>
                    <xdr:colOff>3060700</xdr:colOff>
                    <xdr:row>4</xdr:row>
                    <xdr:rowOff>165100</xdr:rowOff>
                  </from>
                  <to>
                    <xdr:col>4</xdr:col>
                    <xdr:colOff>3556000</xdr:colOff>
                    <xdr:row>4</xdr:row>
                    <xdr:rowOff>393700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AD6D-BEA7-468A-B343-98117C237E40}">
  <sheetPr>
    <tabColor theme="9" tint="0.59999389629810485"/>
  </sheetPr>
  <dimension ref="A1:F75"/>
  <sheetViews>
    <sheetView tabSelected="1" workbookViewId="0">
      <pane ySplit="5" topLeftCell="A13" activePane="bottomLeft" state="frozen"/>
      <selection pane="bottomLeft" activeCell="E15" sqref="E15"/>
      <selection activeCell="E5" sqref="E5"/>
    </sheetView>
  </sheetViews>
  <sheetFormatPr defaultColWidth="11.42578125" defaultRowHeight="15"/>
  <cols>
    <col min="1" max="1" width="26.42578125" style="20" customWidth="1"/>
    <col min="2" max="2" width="58.28515625" style="21" customWidth="1"/>
    <col min="3" max="3" width="20.140625" style="22" customWidth="1"/>
    <col min="4" max="4" width="27.42578125" style="22" customWidth="1"/>
    <col min="5" max="5" width="53.7109375" style="1" customWidth="1"/>
    <col min="6" max="6" width="15.28515625" style="1" customWidth="1"/>
    <col min="7" max="16384" width="11.42578125" style="1"/>
  </cols>
  <sheetData>
    <row r="1" spans="1:6" ht="21" thickBot="1">
      <c r="A1" s="84" t="s">
        <v>27</v>
      </c>
      <c r="B1" s="127" t="s">
        <v>29</v>
      </c>
    </row>
    <row r="2" spans="1:6" ht="18.95">
      <c r="B2" s="71"/>
    </row>
    <row r="3" spans="1:6" ht="20.100000000000001" thickBot="1">
      <c r="A3" s="23" t="s">
        <v>30</v>
      </c>
      <c r="B3" s="24">
        <v>35</v>
      </c>
      <c r="C3" s="25"/>
    </row>
    <row r="4" spans="1:6" ht="21" thickBot="1">
      <c r="A4" s="13"/>
      <c r="B4" s="127" t="s">
        <v>88</v>
      </c>
    </row>
    <row r="5" spans="1:6" ht="42" customHeight="1" thickBot="1">
      <c r="A5" s="72" t="s">
        <v>32</v>
      </c>
      <c r="B5" s="73" t="s">
        <v>33</v>
      </c>
      <c r="C5" s="73" t="s">
        <v>34</v>
      </c>
      <c r="D5" s="74" t="s">
        <v>35</v>
      </c>
      <c r="E5" s="131" t="s">
        <v>36</v>
      </c>
      <c r="F5" s="16"/>
    </row>
    <row r="6" spans="1:6" s="30" customFormat="1" ht="30" customHeight="1">
      <c r="A6" s="26">
        <v>45965</v>
      </c>
      <c r="B6" s="27" t="s">
        <v>89</v>
      </c>
      <c r="C6" s="138">
        <v>0</v>
      </c>
      <c r="D6" s="29">
        <f>B3-C6</f>
        <v>35</v>
      </c>
    </row>
    <row r="7" spans="1:6" s="30" customFormat="1" ht="30" customHeight="1">
      <c r="A7" s="31">
        <v>45985</v>
      </c>
      <c r="B7" s="32" t="s">
        <v>90</v>
      </c>
      <c r="C7" s="139">
        <v>2</v>
      </c>
      <c r="D7" s="34">
        <f t="shared" ref="D7:D31" si="0">D6-C7</f>
        <v>33</v>
      </c>
      <c r="E7" s="30" t="s">
        <v>91</v>
      </c>
    </row>
    <row r="8" spans="1:6" s="30" customFormat="1" ht="30" customHeight="1">
      <c r="A8" s="31">
        <v>45999</v>
      </c>
      <c r="B8" s="32" t="s">
        <v>92</v>
      </c>
      <c r="C8" s="139">
        <v>2</v>
      </c>
      <c r="D8" s="34">
        <f t="shared" si="0"/>
        <v>31</v>
      </c>
    </row>
    <row r="9" spans="1:6" s="30" customFormat="1" ht="30" customHeight="1">
      <c r="A9" s="31">
        <v>46013</v>
      </c>
      <c r="B9" s="32" t="s">
        <v>93</v>
      </c>
      <c r="C9" s="139">
        <v>2</v>
      </c>
      <c r="D9" s="34">
        <f t="shared" si="0"/>
        <v>29</v>
      </c>
    </row>
    <row r="10" spans="1:6" s="35" customFormat="1" ht="30" customHeight="1">
      <c r="A10" s="31">
        <v>46034</v>
      </c>
      <c r="B10" s="32" t="s">
        <v>94</v>
      </c>
      <c r="C10" s="33">
        <v>2</v>
      </c>
      <c r="D10" s="34">
        <f t="shared" si="0"/>
        <v>27</v>
      </c>
    </row>
    <row r="11" spans="1:6" s="30" customFormat="1" ht="30" customHeight="1">
      <c r="A11" s="31">
        <v>46045</v>
      </c>
      <c r="B11" s="32" t="s">
        <v>95</v>
      </c>
      <c r="C11" s="33">
        <v>1.5</v>
      </c>
      <c r="D11" s="34">
        <f t="shared" si="0"/>
        <v>25.5</v>
      </c>
      <c r="E11" s="36"/>
      <c r="F11" s="37"/>
    </row>
    <row r="12" spans="1:6" s="30" customFormat="1" ht="30" customHeight="1">
      <c r="A12" s="31">
        <v>46059</v>
      </c>
      <c r="B12" s="32" t="s">
        <v>96</v>
      </c>
      <c r="C12" s="33">
        <v>1.5</v>
      </c>
      <c r="D12" s="34">
        <f t="shared" si="0"/>
        <v>24</v>
      </c>
      <c r="E12" s="36"/>
      <c r="F12" s="37"/>
    </row>
    <row r="13" spans="1:6" s="30" customFormat="1" ht="30" customHeight="1">
      <c r="A13" s="31">
        <v>46076</v>
      </c>
      <c r="B13" s="32" t="s">
        <v>97</v>
      </c>
      <c r="C13" s="33">
        <v>1.5</v>
      </c>
      <c r="D13" s="34">
        <f t="shared" si="0"/>
        <v>22.5</v>
      </c>
      <c r="E13" s="36"/>
      <c r="F13" s="37"/>
    </row>
    <row r="14" spans="1:6" s="30" customFormat="1" ht="30" customHeight="1">
      <c r="A14" s="31">
        <v>46091</v>
      </c>
      <c r="B14" s="32" t="s">
        <v>98</v>
      </c>
      <c r="C14" s="33">
        <v>2</v>
      </c>
      <c r="D14" s="34">
        <f t="shared" si="0"/>
        <v>20.5</v>
      </c>
      <c r="E14" s="36"/>
      <c r="F14" s="37"/>
    </row>
    <row r="15" spans="1:6" s="30" customFormat="1" ht="30" customHeight="1">
      <c r="A15" s="31">
        <v>46102</v>
      </c>
      <c r="B15" s="32" t="s">
        <v>99</v>
      </c>
      <c r="C15" s="33">
        <v>1</v>
      </c>
      <c r="D15" s="34">
        <f t="shared" si="0"/>
        <v>19.5</v>
      </c>
      <c r="E15" s="36"/>
      <c r="F15" s="37"/>
    </row>
    <row r="16" spans="1:6" s="30" customFormat="1" ht="30" customHeight="1">
      <c r="A16" s="31">
        <v>46129</v>
      </c>
      <c r="B16" s="32" t="s">
        <v>100</v>
      </c>
      <c r="C16" s="33"/>
      <c r="D16" s="34">
        <f t="shared" si="0"/>
        <v>19.5</v>
      </c>
      <c r="E16" s="30" t="s">
        <v>101</v>
      </c>
    </row>
    <row r="17" spans="1:6" s="30" customFormat="1" ht="30" customHeight="1">
      <c r="A17" s="31"/>
      <c r="B17" s="32"/>
      <c r="C17" s="33"/>
      <c r="D17" s="34">
        <f t="shared" si="0"/>
        <v>19.5</v>
      </c>
      <c r="E17" s="38"/>
      <c r="F17" s="37"/>
    </row>
    <row r="18" spans="1:6" s="30" customFormat="1" ht="30" customHeight="1">
      <c r="A18" s="39"/>
      <c r="B18" s="40"/>
      <c r="C18" s="41"/>
      <c r="D18" s="34">
        <f t="shared" si="0"/>
        <v>19.5</v>
      </c>
    </row>
    <row r="19" spans="1:6" s="30" customFormat="1" ht="19.5" customHeight="1" thickBot="1">
      <c r="A19" s="106" t="s">
        <v>102</v>
      </c>
      <c r="B19" s="95"/>
      <c r="C19" s="103"/>
      <c r="D19" s="104"/>
    </row>
    <row r="20" spans="1:6" s="30" customFormat="1" ht="36" customHeight="1" thickBot="1">
      <c r="A20" s="105" t="s">
        <v>54</v>
      </c>
      <c r="B20" s="89" t="s">
        <v>103</v>
      </c>
      <c r="C20" s="151" t="s">
        <v>56</v>
      </c>
      <c r="D20" s="152"/>
    </row>
    <row r="21" spans="1:6" s="30" customFormat="1" ht="18.75" customHeight="1">
      <c r="A21" s="128"/>
      <c r="B21" s="99" t="s">
        <v>57</v>
      </c>
      <c r="C21" s="153"/>
      <c r="D21" s="154"/>
    </row>
    <row r="22" spans="1:6" s="30" customFormat="1" ht="18.75" customHeight="1">
      <c r="A22" s="129"/>
      <c r="B22" s="100" t="s">
        <v>58</v>
      </c>
      <c r="C22" s="155"/>
      <c r="D22" s="156"/>
    </row>
    <row r="23" spans="1:6" s="30" customFormat="1" ht="18.75" customHeight="1">
      <c r="A23" s="129"/>
      <c r="B23" s="100" t="s">
        <v>59</v>
      </c>
      <c r="C23" s="155"/>
      <c r="D23" s="156"/>
    </row>
    <row r="24" spans="1:6" s="30" customFormat="1" ht="18.75" customHeight="1">
      <c r="A24" s="128"/>
      <c r="B24" s="99" t="s">
        <v>60</v>
      </c>
      <c r="C24" s="155"/>
      <c r="D24" s="156"/>
    </row>
    <row r="25" spans="1:6" s="30" customFormat="1" ht="18.75" customHeight="1" thickBot="1">
      <c r="A25" s="130"/>
      <c r="B25" s="101" t="s">
        <v>61</v>
      </c>
      <c r="C25" s="157"/>
      <c r="D25" s="158"/>
    </row>
    <row r="26" spans="1:6" s="30" customFormat="1" ht="20.25" customHeight="1">
      <c r="A26" s="96"/>
      <c r="B26" s="97"/>
      <c r="C26" s="98"/>
      <c r="D26" s="102"/>
    </row>
    <row r="27" spans="1:6" s="30" customFormat="1" ht="30" customHeight="1">
      <c r="A27" s="31"/>
      <c r="B27" s="32"/>
      <c r="C27" s="33"/>
      <c r="D27" s="34">
        <f>D18-C27</f>
        <v>19.5</v>
      </c>
      <c r="E27" s="36"/>
      <c r="F27" s="37"/>
    </row>
    <row r="28" spans="1:6" s="30" customFormat="1" ht="30" customHeight="1">
      <c r="A28" s="31"/>
      <c r="B28" s="32"/>
      <c r="C28" s="33"/>
      <c r="D28" s="34">
        <f t="shared" si="0"/>
        <v>19.5</v>
      </c>
      <c r="E28" s="36"/>
      <c r="F28" s="37"/>
    </row>
    <row r="29" spans="1:6" s="30" customFormat="1" ht="30" customHeight="1">
      <c r="A29" s="39"/>
      <c r="B29" s="40"/>
      <c r="C29" s="41"/>
      <c r="D29" s="34">
        <f t="shared" si="0"/>
        <v>19.5</v>
      </c>
      <c r="E29" s="36"/>
      <c r="F29" s="37"/>
    </row>
    <row r="30" spans="1:6" s="30" customFormat="1" ht="30" customHeight="1">
      <c r="A30" s="31"/>
      <c r="B30" s="32"/>
      <c r="C30" s="33"/>
      <c r="D30" s="34">
        <f t="shared" si="0"/>
        <v>19.5</v>
      </c>
      <c r="E30" s="36"/>
    </row>
    <row r="31" spans="1:6" s="30" customFormat="1" ht="30" customHeight="1">
      <c r="A31" s="112"/>
      <c r="B31" s="109"/>
      <c r="C31" s="110"/>
      <c r="D31" s="111">
        <f t="shared" si="0"/>
        <v>19.5</v>
      </c>
    </row>
    <row r="32" spans="1:6" s="30" customFormat="1" ht="30" customHeight="1">
      <c r="A32" s="114"/>
      <c r="B32" s="115"/>
      <c r="C32" s="116"/>
      <c r="D32" s="117">
        <f>D31-C32</f>
        <v>19.5</v>
      </c>
    </row>
    <row r="33" spans="1:6" s="30" customFormat="1" ht="30" customHeight="1">
      <c r="A33" s="113"/>
      <c r="B33" s="40"/>
      <c r="C33" s="41"/>
      <c r="D33" s="107">
        <f t="shared" ref="D33:D60" si="1">D32-C33</f>
        <v>19.5</v>
      </c>
    </row>
    <row r="34" spans="1:6" s="30" customFormat="1" ht="30" customHeight="1">
      <c r="A34" s="113"/>
      <c r="B34" s="40"/>
      <c r="C34" s="41"/>
      <c r="D34" s="117">
        <f t="shared" si="1"/>
        <v>19.5</v>
      </c>
    </row>
    <row r="35" spans="1:6" s="30" customFormat="1" ht="30" customHeight="1">
      <c r="A35" s="113"/>
      <c r="B35" s="40"/>
      <c r="C35" s="41"/>
      <c r="D35" s="107">
        <f t="shared" si="1"/>
        <v>19.5</v>
      </c>
    </row>
    <row r="36" spans="1:6" s="30" customFormat="1" ht="30" customHeight="1">
      <c r="A36" s="113"/>
      <c r="B36" s="40"/>
      <c r="C36" s="41"/>
      <c r="D36" s="117">
        <f t="shared" si="1"/>
        <v>19.5</v>
      </c>
    </row>
    <row r="37" spans="1:6" s="30" customFormat="1" ht="30" customHeight="1">
      <c r="A37" s="113"/>
      <c r="B37" s="40"/>
      <c r="C37" s="41"/>
      <c r="D37" s="107">
        <f t="shared" si="1"/>
        <v>19.5</v>
      </c>
    </row>
    <row r="38" spans="1:6" s="30" customFormat="1" ht="30" customHeight="1">
      <c r="A38" s="113"/>
      <c r="B38" s="40"/>
      <c r="C38" s="41"/>
      <c r="D38" s="117">
        <f t="shared" si="1"/>
        <v>19.5</v>
      </c>
    </row>
    <row r="39" spans="1:6" s="30" customFormat="1" ht="30" customHeight="1">
      <c r="A39" s="113"/>
      <c r="B39" s="40"/>
      <c r="C39" s="41"/>
      <c r="D39" s="107">
        <f t="shared" si="1"/>
        <v>19.5</v>
      </c>
    </row>
    <row r="40" spans="1:6" s="30" customFormat="1" ht="30" customHeight="1">
      <c r="A40" s="31"/>
      <c r="B40" s="32"/>
      <c r="C40" s="33"/>
      <c r="D40" s="117">
        <f t="shared" si="1"/>
        <v>19.5</v>
      </c>
    </row>
    <row r="41" spans="1:6" s="30" customFormat="1" ht="30" customHeight="1">
      <c r="A41" s="31"/>
      <c r="B41" s="32"/>
      <c r="C41" s="33"/>
      <c r="D41" s="34">
        <f t="shared" si="1"/>
        <v>19.5</v>
      </c>
    </row>
    <row r="42" spans="1:6" s="35" customFormat="1" ht="30" customHeight="1">
      <c r="A42" s="31"/>
      <c r="B42" s="32"/>
      <c r="C42" s="33"/>
      <c r="D42" s="34">
        <f t="shared" si="1"/>
        <v>19.5</v>
      </c>
    </row>
    <row r="43" spans="1:6" s="30" customFormat="1" ht="30" customHeight="1">
      <c r="A43" s="31"/>
      <c r="B43" s="32"/>
      <c r="C43" s="33"/>
      <c r="D43" s="34">
        <f t="shared" si="1"/>
        <v>19.5</v>
      </c>
      <c r="E43" s="36"/>
      <c r="F43" s="37"/>
    </row>
    <row r="44" spans="1:6" s="30" customFormat="1" ht="30" customHeight="1">
      <c r="A44" s="31"/>
      <c r="B44" s="32"/>
      <c r="C44" s="33"/>
      <c r="D44" s="34">
        <f t="shared" si="1"/>
        <v>19.5</v>
      </c>
      <c r="E44" s="36"/>
      <c r="F44" s="37"/>
    </row>
    <row r="45" spans="1:6" s="30" customFormat="1" ht="30" customHeight="1">
      <c r="A45" s="31"/>
      <c r="B45" s="32"/>
      <c r="C45" s="33"/>
      <c r="D45" s="34">
        <f t="shared" si="1"/>
        <v>19.5</v>
      </c>
    </row>
    <row r="46" spans="1:6" s="30" customFormat="1" ht="30" customHeight="1" thickBot="1">
      <c r="A46" s="106" t="s">
        <v>102</v>
      </c>
      <c r="B46" s="95"/>
      <c r="C46" s="103"/>
      <c r="D46" s="104"/>
    </row>
    <row r="47" spans="1:6" s="30" customFormat="1" ht="40.5" customHeight="1" thickBot="1">
      <c r="A47" s="105" t="s">
        <v>54</v>
      </c>
      <c r="B47" s="89" t="s">
        <v>104</v>
      </c>
      <c r="C47" s="151" t="s">
        <v>56</v>
      </c>
      <c r="D47" s="152"/>
    </row>
    <row r="48" spans="1:6" s="30" customFormat="1" ht="20.25" customHeight="1">
      <c r="A48" s="128"/>
      <c r="B48" s="99" t="s">
        <v>57</v>
      </c>
      <c r="C48" s="153"/>
      <c r="D48" s="154"/>
    </row>
    <row r="49" spans="1:6" s="30" customFormat="1" ht="20.25" customHeight="1">
      <c r="A49" s="129"/>
      <c r="B49" s="100" t="s">
        <v>58</v>
      </c>
      <c r="C49" s="155"/>
      <c r="D49" s="156"/>
    </row>
    <row r="50" spans="1:6" s="30" customFormat="1" ht="20.25" customHeight="1">
      <c r="A50" s="129"/>
      <c r="B50" s="100" t="s">
        <v>59</v>
      </c>
      <c r="C50" s="155"/>
      <c r="D50" s="156"/>
    </row>
    <row r="51" spans="1:6" s="30" customFormat="1" ht="20.25" customHeight="1">
      <c r="A51" s="128"/>
      <c r="B51" s="99" t="s">
        <v>60</v>
      </c>
      <c r="C51" s="155"/>
      <c r="D51" s="156"/>
    </row>
    <row r="52" spans="1:6" s="30" customFormat="1" ht="20.25" customHeight="1" thickBot="1">
      <c r="A52" s="130"/>
      <c r="B52" s="101" t="s">
        <v>61</v>
      </c>
      <c r="C52" s="157"/>
      <c r="D52" s="158"/>
    </row>
    <row r="53" spans="1:6" s="30" customFormat="1" ht="20.25" customHeight="1">
      <c r="A53" s="96"/>
      <c r="B53" s="97"/>
      <c r="C53" s="98"/>
      <c r="D53" s="102"/>
    </row>
    <row r="54" spans="1:6" s="30" customFormat="1" ht="30" customHeight="1">
      <c r="A54" s="31"/>
      <c r="B54" s="32"/>
      <c r="C54" s="33"/>
      <c r="D54" s="34">
        <f>D45-C54</f>
        <v>19.5</v>
      </c>
      <c r="E54" s="38"/>
      <c r="F54" s="37"/>
    </row>
    <row r="55" spans="1:6" s="30" customFormat="1" ht="30" customHeight="1">
      <c r="A55" s="31"/>
      <c r="B55" s="32"/>
      <c r="C55" s="33"/>
      <c r="D55" s="34">
        <f t="shared" si="1"/>
        <v>19.5</v>
      </c>
    </row>
    <row r="56" spans="1:6" s="30" customFormat="1" ht="30" customHeight="1">
      <c r="A56" s="31"/>
      <c r="B56" s="32"/>
      <c r="C56" s="33"/>
      <c r="D56" s="34">
        <f t="shared" si="1"/>
        <v>19.5</v>
      </c>
      <c r="E56" s="36"/>
      <c r="F56" s="37"/>
    </row>
    <row r="57" spans="1:6" s="30" customFormat="1" ht="30" customHeight="1">
      <c r="A57" s="31"/>
      <c r="B57" s="32"/>
      <c r="C57" s="33"/>
      <c r="D57" s="34">
        <f t="shared" si="1"/>
        <v>19.5</v>
      </c>
      <c r="E57" s="36"/>
      <c r="F57" s="37"/>
    </row>
    <row r="58" spans="1:6" s="30" customFormat="1" ht="30" customHeight="1">
      <c r="A58" s="42"/>
      <c r="B58" s="32"/>
      <c r="C58" s="33"/>
      <c r="D58" s="34">
        <f t="shared" si="1"/>
        <v>19.5</v>
      </c>
      <c r="E58" s="36"/>
      <c r="F58" s="37"/>
    </row>
    <row r="59" spans="1:6" s="30" customFormat="1" ht="30" customHeight="1">
      <c r="A59" s="42"/>
      <c r="B59" s="32"/>
      <c r="C59" s="33"/>
      <c r="D59" s="34">
        <f t="shared" si="1"/>
        <v>19.5</v>
      </c>
      <c r="E59" s="36"/>
    </row>
    <row r="60" spans="1:6" s="30" customFormat="1" ht="30" customHeight="1">
      <c r="A60" s="108"/>
      <c r="B60" s="109"/>
      <c r="C60" s="110"/>
      <c r="D60" s="111">
        <f t="shared" si="1"/>
        <v>19.5</v>
      </c>
    </row>
    <row r="61" spans="1:6" s="30" customFormat="1" ht="30" customHeight="1">
      <c r="A61" s="39"/>
      <c r="B61" s="40"/>
      <c r="C61" s="41"/>
      <c r="D61" s="107">
        <f>D60-C61</f>
        <v>19.5</v>
      </c>
    </row>
    <row r="62" spans="1:6" s="30" customFormat="1" ht="30" customHeight="1">
      <c r="A62" s="31"/>
      <c r="B62" s="32"/>
      <c r="C62" s="33"/>
      <c r="D62" s="34">
        <f t="shared" ref="D62:D75" si="2">D61-C62</f>
        <v>19.5</v>
      </c>
    </row>
    <row r="63" spans="1:6" s="30" customFormat="1" ht="30" customHeight="1">
      <c r="A63" s="42"/>
      <c r="B63" s="32"/>
      <c r="C63" s="33"/>
      <c r="D63" s="34">
        <f t="shared" si="2"/>
        <v>19.5</v>
      </c>
    </row>
    <row r="64" spans="1:6" s="30" customFormat="1" ht="30" customHeight="1">
      <c r="A64" s="42"/>
      <c r="B64" s="32"/>
      <c r="C64" s="33"/>
      <c r="D64" s="34">
        <f t="shared" si="2"/>
        <v>19.5</v>
      </c>
    </row>
    <row r="65" spans="1:6" s="35" customFormat="1" ht="30" customHeight="1">
      <c r="A65" s="42"/>
      <c r="B65" s="32"/>
      <c r="C65" s="46"/>
      <c r="D65" s="34">
        <f t="shared" si="2"/>
        <v>19.5</v>
      </c>
    </row>
    <row r="66" spans="1:6" s="30" customFormat="1" ht="30" customHeight="1">
      <c r="A66" s="42"/>
      <c r="B66" s="32"/>
      <c r="C66" s="33"/>
      <c r="D66" s="34">
        <f t="shared" si="2"/>
        <v>19.5</v>
      </c>
      <c r="E66" s="36"/>
      <c r="F66" s="37"/>
    </row>
    <row r="67" spans="1:6" s="30" customFormat="1" ht="30" customHeight="1">
      <c r="A67" s="42"/>
      <c r="B67" s="32"/>
      <c r="C67" s="33"/>
      <c r="D67" s="34">
        <f t="shared" si="2"/>
        <v>19.5</v>
      </c>
      <c r="E67" s="36"/>
      <c r="F67" s="37"/>
    </row>
    <row r="68" spans="1:6" s="30" customFormat="1" ht="30" customHeight="1">
      <c r="A68" s="42"/>
      <c r="B68" s="32"/>
      <c r="C68" s="33"/>
      <c r="D68" s="34">
        <f t="shared" si="2"/>
        <v>19.5</v>
      </c>
    </row>
    <row r="69" spans="1:6" s="30" customFormat="1" ht="30" customHeight="1">
      <c r="A69" s="42"/>
      <c r="B69" s="32"/>
      <c r="C69" s="33"/>
      <c r="D69" s="34">
        <f t="shared" si="2"/>
        <v>19.5</v>
      </c>
      <c r="E69" s="38"/>
      <c r="F69" s="37"/>
    </row>
    <row r="70" spans="1:6" s="30" customFormat="1" ht="30" customHeight="1">
      <c r="A70" s="42"/>
      <c r="B70" s="32"/>
      <c r="C70" s="33"/>
      <c r="D70" s="34">
        <f t="shared" si="2"/>
        <v>19.5</v>
      </c>
    </row>
    <row r="71" spans="1:6" s="30" customFormat="1" ht="30" customHeight="1">
      <c r="A71" s="42"/>
      <c r="B71" s="32"/>
      <c r="C71" s="33"/>
      <c r="D71" s="34">
        <f t="shared" si="2"/>
        <v>19.5</v>
      </c>
      <c r="E71" s="36"/>
      <c r="F71" s="37"/>
    </row>
    <row r="72" spans="1:6" s="30" customFormat="1" ht="30" customHeight="1">
      <c r="A72" s="42"/>
      <c r="B72" s="32"/>
      <c r="C72" s="33"/>
      <c r="D72" s="34">
        <f t="shared" si="2"/>
        <v>19.5</v>
      </c>
      <c r="E72" s="36"/>
      <c r="F72" s="37"/>
    </row>
    <row r="73" spans="1:6" s="30" customFormat="1" ht="30" customHeight="1">
      <c r="A73" s="42"/>
      <c r="B73" s="32"/>
      <c r="C73" s="33"/>
      <c r="D73" s="34">
        <f t="shared" si="2"/>
        <v>19.5</v>
      </c>
      <c r="E73" s="36"/>
      <c r="F73" s="37"/>
    </row>
    <row r="74" spans="1:6" s="30" customFormat="1" ht="30" customHeight="1">
      <c r="A74" s="42"/>
      <c r="B74" s="32"/>
      <c r="C74" s="33"/>
      <c r="D74" s="34">
        <f t="shared" si="2"/>
        <v>19.5</v>
      </c>
      <c r="E74" s="36"/>
    </row>
    <row r="75" spans="1:6" s="30" customFormat="1" ht="30" customHeight="1" thickBot="1">
      <c r="A75" s="43"/>
      <c r="B75" s="44"/>
      <c r="C75" s="45"/>
      <c r="D75" s="47">
        <f t="shared" si="2"/>
        <v>19.5</v>
      </c>
    </row>
  </sheetData>
  <sheetProtection selectLockedCells="1" selectUnlockedCells="1"/>
  <mergeCells count="4">
    <mergeCell ref="C20:D20"/>
    <mergeCell ref="C21:D25"/>
    <mergeCell ref="C47:D47"/>
    <mergeCell ref="C48:D52"/>
  </mergeCells>
  <pageMargins left="0.2361111111111111" right="0.2361111111111111" top="0.15763888888888888" bottom="0.15763888888888888" header="0.51180555555555551" footer="0.51180555555555551"/>
  <pageSetup paperSize="9" firstPageNumber="0" orientation="landscape" horizontalDpi="300" verticalDpi="300"/>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18453" r:id="rId3" name="Check Box 21">
              <controlPr defaultSize="0" autoFill="0" autoLine="0" autoPict="0">
                <anchor moveWithCells="1">
                  <from>
                    <xdr:col>4</xdr:col>
                    <xdr:colOff>2171700</xdr:colOff>
                    <xdr:row>4</xdr:row>
                    <xdr:rowOff>152400</xdr:rowOff>
                  </from>
                  <to>
                    <xdr:col>4</xdr:col>
                    <xdr:colOff>2794000</xdr:colOff>
                    <xdr:row>4</xdr:row>
                    <xdr:rowOff>406400</xdr:rowOff>
                  </to>
                </anchor>
              </controlPr>
            </control>
          </mc:Choice>
        </mc:AlternateContent>
        <mc:AlternateContent xmlns:mc="http://schemas.openxmlformats.org/markup-compatibility/2006">
          <mc:Choice Requires="x14">
            <control shapeId="18454" r:id="rId4" name="Check Box 22">
              <controlPr defaultSize="0" autoFill="0" autoLine="0" autoPict="0">
                <anchor moveWithCells="1">
                  <from>
                    <xdr:col>4</xdr:col>
                    <xdr:colOff>3060700</xdr:colOff>
                    <xdr:row>4</xdr:row>
                    <xdr:rowOff>165100</xdr:rowOff>
                  </from>
                  <to>
                    <xdr:col>4</xdr:col>
                    <xdr:colOff>3556000</xdr:colOff>
                    <xdr:row>4</xdr:row>
                    <xdr:rowOff>393700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54724-9703-4F61-88E1-69497DB78048}">
  <sheetPr>
    <tabColor rgb="FF00B0F0"/>
  </sheetPr>
  <dimension ref="A7:C18"/>
  <sheetViews>
    <sheetView workbookViewId="0">
      <pane xSplit="3" ySplit="10" topLeftCell="D11" activePane="bottomRight" state="frozen"/>
      <selection pane="bottomRight" activeCell="C19" sqref="C19"/>
      <selection pane="bottomLeft" activeCell="A11" sqref="A11"/>
      <selection pane="topRight" activeCell="D1" sqref="D1"/>
    </sheetView>
  </sheetViews>
  <sheetFormatPr defaultColWidth="11.42578125" defaultRowHeight="12.95"/>
  <cols>
    <col min="2" max="2" width="27.7109375" customWidth="1"/>
    <col min="3" max="3" width="88" customWidth="1"/>
  </cols>
  <sheetData>
    <row r="7" spans="1:3" ht="32.25" customHeight="1">
      <c r="A7" s="125" t="s">
        <v>105</v>
      </c>
      <c r="B7" s="125" t="s">
        <v>106</v>
      </c>
      <c r="C7" s="125" t="s">
        <v>107</v>
      </c>
    </row>
    <row r="8" spans="1:3" ht="36" customHeight="1">
      <c r="A8" s="126"/>
      <c r="B8" s="126"/>
      <c r="C8" s="126"/>
    </row>
    <row r="9" spans="1:3" ht="36" customHeight="1">
      <c r="A9" s="126"/>
      <c r="B9" s="126"/>
      <c r="C9" s="126"/>
    </row>
    <row r="10" spans="1:3" ht="36" customHeight="1">
      <c r="A10" s="126"/>
      <c r="B10" s="126"/>
      <c r="C10" s="126"/>
    </row>
    <row r="11" spans="1:3" ht="36" customHeight="1">
      <c r="A11" s="126"/>
      <c r="B11" s="126"/>
      <c r="C11" s="126"/>
    </row>
    <row r="12" spans="1:3" ht="36" customHeight="1">
      <c r="A12" s="126"/>
      <c r="B12" s="126"/>
      <c r="C12" s="126"/>
    </row>
    <row r="13" spans="1:3" ht="36" customHeight="1">
      <c r="A13" s="126"/>
      <c r="B13" s="126"/>
      <c r="C13" s="126"/>
    </row>
    <row r="14" spans="1:3" ht="36" customHeight="1">
      <c r="A14" s="126"/>
      <c r="B14" s="126"/>
      <c r="C14" s="126"/>
    </row>
    <row r="15" spans="1:3" ht="36" customHeight="1">
      <c r="A15" s="126"/>
      <c r="B15" s="126"/>
      <c r="C15" s="126"/>
    </row>
    <row r="16" spans="1:3" ht="36" customHeight="1">
      <c r="A16" s="126"/>
      <c r="B16" s="126"/>
      <c r="C16" s="126"/>
    </row>
    <row r="17" spans="1:3" ht="36" customHeight="1">
      <c r="A17" s="126"/>
      <c r="B17" s="126"/>
      <c r="C17" s="126"/>
    </row>
    <row r="18" spans="1:3" ht="36" customHeight="1">
      <c r="A18" s="126"/>
      <c r="B18" s="126"/>
      <c r="C18" s="126"/>
    </row>
  </sheetData>
  <pageMargins left="0.7" right="0.7" top="0.78740157499999996" bottom="0.78740157499999996"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Kraatz</dc:creator>
  <cp:keywords/>
  <dc:description/>
  <cp:lastModifiedBy>Till Mengler</cp:lastModifiedBy>
  <cp:revision/>
  <dcterms:created xsi:type="dcterms:W3CDTF">2018-12-11T11:35:24Z</dcterms:created>
  <dcterms:modified xsi:type="dcterms:W3CDTF">2026-03-21T15:16:58Z</dcterms:modified>
  <cp:category/>
  <cp:contentStatus/>
</cp:coreProperties>
</file>